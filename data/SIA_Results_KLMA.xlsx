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tech-my.sharepoint.com/personal/jherime_kellermann_oit_edu/Documents/Projects/Current Projects/YERA/Data/Isotopes/"/>
    </mc:Choice>
  </mc:AlternateContent>
  <xr:revisionPtr revIDLastSave="11" documentId="8_{B21EB803-C4AF-4683-B0DB-4BB71B463B5E}" xr6:coauthVersionLast="47" xr6:coauthVersionMax="47" xr10:uidLastSave="{BF1FACA3-4CF3-4E97-8E4A-A0B3F2FF60F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8" i="1" l="1"/>
  <c r="E118" i="1"/>
  <c r="D118" i="1"/>
  <c r="C118" i="1"/>
  <c r="F117" i="1"/>
  <c r="E117" i="1"/>
  <c r="D117" i="1"/>
  <c r="C117" i="1"/>
  <c r="F108" i="1"/>
  <c r="E108" i="1"/>
  <c r="D108" i="1"/>
  <c r="C108" i="1"/>
  <c r="F107" i="1"/>
  <c r="E107" i="1"/>
  <c r="D107" i="1"/>
  <c r="C107" i="1"/>
  <c r="F99" i="1"/>
  <c r="E99" i="1"/>
  <c r="D99" i="1"/>
  <c r="C99" i="1"/>
  <c r="F98" i="1"/>
  <c r="E98" i="1"/>
  <c r="D98" i="1"/>
  <c r="C98" i="1"/>
  <c r="F73" i="1"/>
  <c r="E73" i="1"/>
  <c r="D73" i="1"/>
  <c r="C73" i="1"/>
  <c r="F72" i="1"/>
  <c r="E72" i="1"/>
  <c r="D72" i="1"/>
  <c r="C72" i="1"/>
  <c r="F63" i="1"/>
  <c r="E63" i="1"/>
  <c r="D63" i="1"/>
  <c r="C63" i="1"/>
  <c r="F62" i="1"/>
  <c r="E62" i="1"/>
  <c r="D62" i="1"/>
  <c r="C62" i="1"/>
  <c r="F54" i="1"/>
  <c r="E54" i="1"/>
  <c r="D54" i="1"/>
  <c r="C54" i="1"/>
  <c r="F53" i="1"/>
  <c r="E53" i="1"/>
  <c r="D53" i="1"/>
  <c r="C53" i="1"/>
</calcChain>
</file>

<file path=xl/sharedStrings.xml><?xml version="1.0" encoding="utf-8"?>
<sst xmlns="http://schemas.openxmlformats.org/spreadsheetml/2006/main" count="293" uniqueCount="109">
  <si>
    <t>SIRFER TCEA-IRMS-HO</t>
  </si>
  <si>
    <t>Job #24- 215.1</t>
  </si>
  <si>
    <t>Analyst:</t>
  </si>
  <si>
    <t>Suvankar Chakraborty</t>
  </si>
  <si>
    <t xml:space="preserve">Primary reference 1 (PLRM-1):  </t>
  </si>
  <si>
    <t>DS</t>
  </si>
  <si>
    <t xml:space="preserve">Primary reference 2 (PLRM-2): </t>
  </si>
  <si>
    <t>ORX</t>
  </si>
  <si>
    <t xml:space="preserve">Secondary reference (SLRM): </t>
  </si>
  <si>
    <t>POW</t>
  </si>
  <si>
    <t>Wt% standard:</t>
  </si>
  <si>
    <t>Date loaded:</t>
  </si>
  <si>
    <t>Date analyzed:</t>
  </si>
  <si>
    <t>6/02/2024</t>
  </si>
  <si>
    <t>SIRFER #</t>
  </si>
  <si>
    <t>Original ID</t>
  </si>
  <si>
    <r>
      <t>d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VSMOW</t>
    </r>
    <r>
      <rPr>
        <sz val="12"/>
        <rFont val="Times New Roman"/>
        <family val="1"/>
      </rPr>
      <t xml:space="preserve"> (‰)</t>
    </r>
  </si>
  <si>
    <r>
      <t>d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VSMOW</t>
    </r>
    <r>
      <rPr>
        <sz val="12"/>
        <rFont val="Times New Roman"/>
        <family val="1"/>
      </rPr>
      <t xml:space="preserve"> (‰)</t>
    </r>
  </si>
  <si>
    <t>Wt% H</t>
  </si>
  <si>
    <t>Wt% O</t>
  </si>
  <si>
    <t>%O:%H ratio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</si>
  <si>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</si>
  <si>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</si>
  <si>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</si>
  <si>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</si>
  <si>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</si>
  <si>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</si>
  <si>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</si>
  <si>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</si>
  <si>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</si>
  <si>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</si>
  <si>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</si>
  <si>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</si>
  <si>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</si>
  <si>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</si>
  <si>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</si>
  <si>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</si>
  <si>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</si>
  <si>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</si>
  <si>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</si>
  <si>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</si>
  <si>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</si>
  <si>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</si>
  <si>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</si>
  <si>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</si>
  <si>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</si>
  <si>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</si>
  <si>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</si>
  <si>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</si>
  <si>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</si>
  <si>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</si>
  <si>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</si>
  <si>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</si>
  <si>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</si>
  <si>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</si>
  <si>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</si>
  <si>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</si>
  <si>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</si>
  <si>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</si>
  <si>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Quality Assurance</t>
  </si>
  <si>
    <t>Sample ID</t>
  </si>
  <si>
    <r>
      <t>d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 xml:space="preserve">VSMOW </t>
    </r>
    <r>
      <rPr>
        <sz val="12"/>
        <rFont val="Times New Roman"/>
        <family val="1"/>
      </rPr>
      <t>(‰)</t>
    </r>
  </si>
  <si>
    <r>
      <t>d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VSMOW</t>
    </r>
    <r>
      <rPr>
        <sz val="12"/>
        <rFont val="Times New Roman"/>
        <family val="1"/>
      </rPr>
      <t xml:space="preserve"> = -172.7‰</t>
    </r>
  </si>
  <si>
    <r>
      <t>d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VSMOW</t>
    </r>
    <r>
      <rPr>
        <sz val="12"/>
        <rFont val="Times New Roman"/>
        <family val="1"/>
      </rPr>
      <t xml:space="preserve"> = +6.02‰</t>
    </r>
  </si>
  <si>
    <t>average</t>
  </si>
  <si>
    <t>standard uncertainty</t>
  </si>
  <si>
    <r>
      <t>d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VSMOW</t>
    </r>
    <r>
      <rPr>
        <sz val="12"/>
        <rFont val="Times New Roman"/>
        <family val="1"/>
      </rPr>
      <t xml:space="preserve"> = -34.0‰</t>
    </r>
  </si>
  <si>
    <r>
      <t>d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VSMOW</t>
    </r>
    <r>
      <rPr>
        <sz val="12"/>
        <rFont val="Times New Roman"/>
        <family val="1"/>
      </rPr>
      <t xml:space="preserve"> = +25.09‰</t>
    </r>
  </si>
  <si>
    <t>Quality Control</t>
  </si>
  <si>
    <r>
      <t>2</t>
    </r>
    <r>
      <rPr>
        <sz val="12"/>
        <rFont val="Times New Roman"/>
        <family val="1"/>
      </rPr>
      <t>H/</t>
    </r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VSMOW</t>
    </r>
  </si>
  <si>
    <r>
      <t>18</t>
    </r>
    <r>
      <rPr>
        <sz val="12"/>
        <rFont val="Times New Roman"/>
        <family val="1"/>
      </rPr>
      <t>O/</t>
    </r>
    <r>
      <rPr>
        <vertAlign val="superscript"/>
        <sz val="12"/>
        <rFont val="Times New Roman"/>
        <family val="1"/>
      </rPr>
      <t>16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VSMOW</t>
    </r>
  </si>
  <si>
    <t>O:H ratio</t>
  </si>
  <si>
    <r>
      <t>d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 xml:space="preserve">VSMOW </t>
    </r>
    <r>
      <rPr>
        <sz val="12"/>
        <rFont val="Times New Roman"/>
        <family val="1"/>
      </rPr>
      <t>= -100.9‰</t>
    </r>
  </si>
  <si>
    <r>
      <t>d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VSMOW</t>
    </r>
    <r>
      <rPr>
        <sz val="12"/>
        <rFont val="Times New Roman"/>
        <family val="1"/>
      </rPr>
      <t xml:space="preserve"> = +12.34‰</t>
    </r>
  </si>
  <si>
    <t>acceptable range</t>
  </si>
  <si>
    <r>
      <t>d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VSMOW</t>
    </r>
  </si>
  <si>
    <t>1 sigma = 2.0</t>
  </si>
  <si>
    <r>
      <t>d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VSMOW</t>
    </r>
  </si>
  <si>
    <t>1 sigma = 0.20</t>
  </si>
  <si>
    <t>Job #24- 215.2</t>
  </si>
  <si>
    <t>6/16/2024</t>
  </si>
  <si>
    <t>39</t>
  </si>
  <si>
    <t>40</t>
  </si>
  <si>
    <t>60</t>
  </si>
  <si>
    <t>41</t>
  </si>
  <si>
    <t>42</t>
  </si>
  <si>
    <t>ID on envelope</t>
  </si>
  <si>
    <t>Other sample notes</t>
  </si>
  <si>
    <t>1422-02211</t>
  </si>
  <si>
    <t>Secondary</t>
  </si>
  <si>
    <t>Rectrix</t>
  </si>
  <si>
    <t>Breast</t>
  </si>
  <si>
    <t>Nape</t>
  </si>
  <si>
    <t>1422-02212</t>
  </si>
  <si>
    <t>1422-02213</t>
  </si>
  <si>
    <t>1422-02214</t>
  </si>
  <si>
    <t>1422-02215</t>
  </si>
  <si>
    <t>1422-02216</t>
  </si>
  <si>
    <t>Rectrix 1</t>
  </si>
  <si>
    <t>1422-02217</t>
  </si>
  <si>
    <t>1422-02218</t>
  </si>
  <si>
    <t>1422-02219</t>
  </si>
  <si>
    <t>Breast 1</t>
  </si>
  <si>
    <t>1422-02220</t>
  </si>
  <si>
    <t>1422-02221</t>
  </si>
  <si>
    <t>1422-02251</t>
  </si>
  <si>
    <t>Wing covert 1</t>
  </si>
  <si>
    <t>Wing covert 2</t>
  </si>
  <si>
    <t>Rectrice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</si>
</sst>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>
    <font>
      <sz val="12"/>
      <color theme="1"/>
      <name val="Aptos Narrow"/>
      <family val="2"/>
      <scheme val="minor"/>
    </font>
    <font>
      <sz val="12"/>
      <name val="Times New Roman"/>
      <family val="1"/>
    </font>
    <font>
      <sz val="10"/>
      <name val="Geneva"/>
      <family val="2"/>
      <charset val="1"/>
    </font>
    <font>
      <sz val="12"/>
      <name val="Symbol"/>
      <charset val="2"/>
    </font>
    <font>
      <vertAlign val="superscript"/>
      <sz val="12"/>
      <name val="Times New Roman"/>
      <family val="1"/>
    </font>
    <font>
      <vertAlign val="subscript"/>
      <sz val="12"/>
      <name val="Times New Roman"/>
      <family val="1"/>
    </font>
    <font>
      <sz val="10"/>
      <name val="Times New Roman"/>
      <family val="1"/>
    </font>
    <font>
      <sz val="10"/>
      <name val="Cambria"/>
      <family val="1"/>
    </font>
    <font>
      <sz val="12"/>
      <name val="Cambria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164" fontId="1" fillId="2" borderId="3" xfId="0" applyNumberFormat="1" applyFont="1" applyFill="1" applyBorder="1" applyAlignment="1">
      <alignment horizontal="left"/>
    </xf>
    <xf numFmtId="0" fontId="1" fillId="2" borderId="4" xfId="1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164" fontId="1" fillId="2" borderId="0" xfId="1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164" fontId="1" fillId="2" borderId="5" xfId="0" applyNumberFormat="1" applyFont="1" applyFill="1" applyBorder="1" applyAlignment="1">
      <alignment horizontal="left"/>
    </xf>
    <xf numFmtId="164" fontId="1" fillId="2" borderId="5" xfId="1" applyNumberFormat="1" applyFont="1" applyFill="1" applyBorder="1" applyAlignment="1">
      <alignment horizontal="left"/>
    </xf>
    <xf numFmtId="0" fontId="1" fillId="2" borderId="0" xfId="1" applyFont="1" applyFill="1" applyAlignment="1">
      <alignment horizontal="left"/>
    </xf>
    <xf numFmtId="165" fontId="1" fillId="2" borderId="0" xfId="1" applyNumberFormat="1" applyFont="1" applyFill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164" fontId="1" fillId="2" borderId="7" xfId="0" applyNumberFormat="1" applyFont="1" applyFill="1" applyBorder="1" applyAlignment="1">
      <alignment horizontal="left"/>
    </xf>
    <xf numFmtId="164" fontId="1" fillId="2" borderId="8" xfId="0" applyNumberFormat="1" applyFont="1" applyFill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164" fontId="1" fillId="2" borderId="9" xfId="0" applyNumberFormat="1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2" borderId="10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164" fontId="1" fillId="4" borderId="8" xfId="0" applyNumberFormat="1" applyFont="1" applyFill="1" applyBorder="1" applyAlignment="1">
      <alignment horizontal="left"/>
    </xf>
    <xf numFmtId="164" fontId="1" fillId="4" borderId="10" xfId="0" applyNumberFormat="1" applyFont="1" applyFill="1" applyBorder="1" applyAlignment="1">
      <alignment horizontal="left"/>
    </xf>
    <xf numFmtId="49" fontId="1" fillId="4" borderId="11" xfId="0" applyNumberFormat="1" applyFont="1" applyFill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4" fontId="1" fillId="4" borderId="7" xfId="0" applyNumberFormat="1" applyFont="1" applyFill="1" applyBorder="1" applyAlignment="1">
      <alignment horizontal="center"/>
    </xf>
    <xf numFmtId="164" fontId="1" fillId="4" borderId="9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left"/>
    </xf>
    <xf numFmtId="164" fontId="7" fillId="4" borderId="8" xfId="0" applyNumberFormat="1" applyFont="1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1" fontId="3" fillId="3" borderId="4" xfId="0" applyNumberFormat="1" applyFont="1" applyFill="1" applyBorder="1" applyAlignment="1">
      <alignment horizontal="left"/>
    </xf>
    <xf numFmtId="164" fontId="7" fillId="4" borderId="0" xfId="0" applyNumberFormat="1" applyFont="1" applyFill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left"/>
    </xf>
    <xf numFmtId="0" fontId="8" fillId="4" borderId="0" xfId="0" applyFont="1" applyFill="1" applyAlignment="1">
      <alignment horizontal="center"/>
    </xf>
    <xf numFmtId="0" fontId="1" fillId="4" borderId="4" xfId="0" applyFont="1" applyFill="1" applyBorder="1" applyAlignment="1">
      <alignment horizontal="left"/>
    </xf>
    <xf numFmtId="164" fontId="0" fillId="4" borderId="12" xfId="0" applyNumberFormat="1" applyFill="1" applyBorder="1" applyAlignment="1">
      <alignment horizontal="center"/>
    </xf>
    <xf numFmtId="1" fontId="0" fillId="4" borderId="0" xfId="0" applyNumberFormat="1" applyFill="1" applyAlignment="1">
      <alignment horizontal="center"/>
    </xf>
    <xf numFmtId="0" fontId="1" fillId="4" borderId="13" xfId="0" applyFont="1" applyFill="1" applyBorder="1" applyAlignment="1">
      <alignment horizontal="left"/>
    </xf>
    <xf numFmtId="0" fontId="1" fillId="4" borderId="12" xfId="0" applyFont="1" applyFill="1" applyBorder="1" applyAlignment="1">
      <alignment horizontal="center"/>
    </xf>
    <xf numFmtId="2" fontId="0" fillId="4" borderId="14" xfId="0" applyNumberFormat="1" applyFill="1" applyBorder="1" applyAlignment="1">
      <alignment horizontal="center"/>
    </xf>
    <xf numFmtId="49" fontId="1" fillId="4" borderId="13" xfId="0" applyNumberFormat="1" applyFont="1" applyFill="1" applyBorder="1" applyAlignment="1">
      <alignment horizontal="left"/>
    </xf>
    <xf numFmtId="0" fontId="4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11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center"/>
    </xf>
    <xf numFmtId="164" fontId="1" fillId="5" borderId="8" xfId="0" applyNumberFormat="1" applyFont="1" applyFill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/>
    </xf>
    <xf numFmtId="49" fontId="1" fillId="5" borderId="6" xfId="0" applyNumberFormat="1" applyFont="1" applyFill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/>
    </xf>
    <xf numFmtId="164" fontId="1" fillId="5" borderId="7" xfId="0" applyNumberFormat="1" applyFont="1" applyFill="1" applyBorder="1" applyAlignment="1">
      <alignment horizontal="center"/>
    </xf>
    <xf numFmtId="164" fontId="1" fillId="5" borderId="9" xfId="0" applyNumberFormat="1" applyFon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1" fontId="3" fillId="5" borderId="4" xfId="0" applyNumberFormat="1" applyFont="1" applyFill="1" applyBorder="1" applyAlignment="1">
      <alignment horizontal="left"/>
    </xf>
    <xf numFmtId="164" fontId="0" fillId="5" borderId="0" xfId="0" applyNumberFormat="1" applyFill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164" fontId="3" fillId="5" borderId="4" xfId="0" applyNumberFormat="1" applyFont="1" applyFill="1" applyBorder="1" applyAlignment="1">
      <alignment horizontal="left"/>
    </xf>
    <xf numFmtId="0" fontId="4" fillId="5" borderId="0" xfId="0" applyFont="1" applyFill="1" applyAlignment="1">
      <alignment horizontal="center"/>
    </xf>
    <xf numFmtId="0" fontId="1" fillId="5" borderId="4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left"/>
    </xf>
    <xf numFmtId="0" fontId="1" fillId="5" borderId="12" xfId="0" applyFont="1" applyFill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  <xf numFmtId="2" fontId="0" fillId="5" borderId="14" xfId="0" applyNumberFormat="1" applyFill="1" applyBorder="1" applyAlignment="1">
      <alignment horizontal="center"/>
    </xf>
    <xf numFmtId="1" fontId="3" fillId="5" borderId="8" xfId="0" applyNumberFormat="1" applyFont="1" applyFill="1" applyBorder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1" fillId="5" borderId="5" xfId="0" applyNumberFormat="1" applyFont="1" applyFill="1" applyBorder="1" applyAlignment="1">
      <alignment horizontal="center"/>
    </xf>
    <xf numFmtId="165" fontId="1" fillId="5" borderId="0" xfId="0" applyNumberFormat="1" applyFont="1" applyFill="1" applyAlignment="1">
      <alignment horizontal="center"/>
    </xf>
    <xf numFmtId="164" fontId="1" fillId="5" borderId="12" xfId="0" applyNumberFormat="1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1" fillId="5" borderId="15" xfId="0" applyFont="1" applyFill="1" applyBorder="1" applyAlignment="1">
      <alignment horizontal="left"/>
    </xf>
    <xf numFmtId="0" fontId="1" fillId="5" borderId="16" xfId="0" applyFont="1" applyFill="1" applyBorder="1" applyAlignment="1">
      <alignment horizontal="left"/>
    </xf>
    <xf numFmtId="164" fontId="1" fillId="5" borderId="16" xfId="0" applyNumberFormat="1" applyFont="1" applyFill="1" applyBorder="1" applyAlignment="1">
      <alignment horizontal="left"/>
    </xf>
    <xf numFmtId="164" fontId="1" fillId="5" borderId="17" xfId="0" applyNumberFormat="1" applyFont="1" applyFill="1" applyBorder="1" applyAlignment="1">
      <alignment horizontal="left"/>
    </xf>
    <xf numFmtId="0" fontId="9" fillId="2" borderId="0" xfId="0" applyFont="1" applyFill="1" applyAlignment="1">
      <alignment horizontal="center"/>
    </xf>
    <xf numFmtId="1" fontId="9" fillId="2" borderId="0" xfId="0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164" fontId="9" fillId="2" borderId="5" xfId="0" applyNumberFormat="1" applyFont="1" applyFill="1" applyBorder="1" applyAlignment="1">
      <alignment horizontal="center"/>
    </xf>
    <xf numFmtId="1" fontId="1" fillId="2" borderId="0" xfId="0" applyNumberFormat="1" applyFont="1" applyFill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1" fillId="3" borderId="11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164" fontId="1" fillId="0" borderId="0" xfId="0" applyNumberFormat="1" applyFont="1" applyFill="1" applyBorder="1" applyAlignment="1">
      <alignment horizontal="left"/>
    </xf>
    <xf numFmtId="0" fontId="0" fillId="0" borderId="0" xfId="0" applyFill="1" applyBorder="1"/>
    <xf numFmtId="0" fontId="1" fillId="0" borderId="0" xfId="1" applyFont="1" applyFill="1" applyBorder="1" applyAlignment="1">
      <alignment horizontal="left"/>
    </xf>
    <xf numFmtId="165" fontId="1" fillId="0" borderId="0" xfId="0" applyNumberFormat="1" applyFont="1" applyFill="1" applyBorder="1" applyAlignment="1">
      <alignment horizontal="left"/>
    </xf>
    <xf numFmtId="164" fontId="1" fillId="0" borderId="0" xfId="1" applyNumberFormat="1" applyFont="1" applyFill="1" applyBorder="1" applyAlignment="1">
      <alignment horizontal="left"/>
    </xf>
    <xf numFmtId="165" fontId="1" fillId="0" borderId="0" xfId="1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4" fontId="7" fillId="0" borderId="0" xfId="0" applyNumberFormat="1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left"/>
    </xf>
    <xf numFmtId="164" fontId="3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65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</cellXfs>
  <cellStyles count="2">
    <cellStyle name="Normal" xfId="0" builtinId="0"/>
    <cellStyle name="Normal_CHNO WORKSHEE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5"/>
  <sheetViews>
    <sheetView tabSelected="1" topLeftCell="A141" workbookViewId="0">
      <selection activeCell="A123" sqref="A123"/>
    </sheetView>
  </sheetViews>
  <sheetFormatPr defaultColWidth="11.09765625" defaultRowHeight="15.6"/>
  <cols>
    <col min="1" max="1" width="22.796875" customWidth="1"/>
    <col min="2" max="2" width="16.09765625" customWidth="1"/>
    <col min="3" max="3" width="15" customWidth="1"/>
    <col min="4" max="5" width="15.09765625" customWidth="1"/>
    <col min="6" max="6" width="15.296875" customWidth="1"/>
    <col min="7" max="7" width="15.5" customWidth="1"/>
    <col min="8" max="8" width="28.3984375" bestFit="1" customWidth="1"/>
    <col min="9" max="9" width="32.69921875" bestFit="1" customWidth="1"/>
  </cols>
  <sheetData>
    <row r="1" spans="1:9">
      <c r="A1" s="1" t="s">
        <v>0</v>
      </c>
      <c r="B1" s="2"/>
      <c r="C1" s="3"/>
      <c r="D1" s="3"/>
      <c r="E1" s="3"/>
      <c r="F1" s="3"/>
      <c r="G1" s="4"/>
    </row>
    <row r="2" spans="1:9">
      <c r="A2" s="5" t="s">
        <v>1</v>
      </c>
      <c r="B2" s="6"/>
      <c r="C2" s="7"/>
      <c r="D2" s="8" t="s">
        <v>2</v>
      </c>
      <c r="E2" s="9"/>
      <c r="F2" s="7" t="s">
        <v>3</v>
      </c>
      <c r="G2" s="10"/>
    </row>
    <row r="3" spans="1:9">
      <c r="A3" s="5" t="s">
        <v>4</v>
      </c>
      <c r="B3" s="6"/>
      <c r="C3" s="7" t="s">
        <v>5</v>
      </c>
      <c r="D3" s="8" t="s">
        <v>6</v>
      </c>
      <c r="E3" s="8"/>
      <c r="F3" s="9" t="s">
        <v>7</v>
      </c>
      <c r="G3" s="11"/>
    </row>
    <row r="4" spans="1:9">
      <c r="A4" s="5" t="s">
        <v>8</v>
      </c>
      <c r="B4" s="12"/>
      <c r="C4" s="13" t="s">
        <v>9</v>
      </c>
      <c r="D4" s="9" t="s">
        <v>10</v>
      </c>
      <c r="E4" s="9"/>
      <c r="F4" s="9"/>
      <c r="G4" s="11"/>
    </row>
    <row r="5" spans="1:9">
      <c r="A5" s="14" t="s">
        <v>11</v>
      </c>
      <c r="B5" s="15"/>
      <c r="C5" s="16"/>
      <c r="D5" s="17" t="s">
        <v>12</v>
      </c>
      <c r="E5" s="16"/>
      <c r="F5" s="18" t="s">
        <v>13</v>
      </c>
      <c r="G5" s="19"/>
    </row>
    <row r="6" spans="1:9" ht="19.8">
      <c r="A6" s="20" t="s">
        <v>14</v>
      </c>
      <c r="B6" s="21" t="s">
        <v>15</v>
      </c>
      <c r="C6" s="22" t="s">
        <v>16</v>
      </c>
      <c r="D6" s="23" t="s">
        <v>17</v>
      </c>
      <c r="E6" s="24" t="s">
        <v>18</v>
      </c>
      <c r="F6" s="24" t="s">
        <v>19</v>
      </c>
      <c r="G6" s="25" t="s">
        <v>20</v>
      </c>
      <c r="H6" t="s">
        <v>86</v>
      </c>
      <c r="I6" t="s">
        <v>87</v>
      </c>
    </row>
    <row r="7" spans="1:9">
      <c r="A7" s="20"/>
      <c r="B7" s="21" t="s">
        <v>21</v>
      </c>
      <c r="C7" s="90">
        <v>-115.12125072607773</v>
      </c>
      <c r="D7" s="24">
        <v>7.1404534882210555</v>
      </c>
      <c r="E7" s="24">
        <v>5.7101590940273184</v>
      </c>
      <c r="F7" s="24">
        <v>21.505746243872355</v>
      </c>
      <c r="G7" s="91">
        <v>3.7661033326664253</v>
      </c>
      <c r="H7" t="s">
        <v>88</v>
      </c>
      <c r="I7" t="s">
        <v>89</v>
      </c>
    </row>
    <row r="8" spans="1:9">
      <c r="A8" s="20"/>
      <c r="B8" s="21" t="s">
        <v>22</v>
      </c>
      <c r="C8" s="90">
        <v>-121.16280213848472</v>
      </c>
      <c r="D8" s="24">
        <v>7.4151697269807642</v>
      </c>
      <c r="E8" s="24">
        <v>5.5419297088967365</v>
      </c>
      <c r="F8" s="24">
        <v>20.102969642041579</v>
      </c>
      <c r="G8" s="91">
        <v>3.6353670472401163</v>
      </c>
      <c r="H8" t="s">
        <v>88</v>
      </c>
      <c r="I8" t="s">
        <v>90</v>
      </c>
    </row>
    <row r="9" spans="1:9">
      <c r="A9" s="26"/>
      <c r="B9" s="86" t="s">
        <v>23</v>
      </c>
      <c r="C9" s="87">
        <v>-61.554475524184681</v>
      </c>
      <c r="D9" s="88">
        <v>9.8096461125234526</v>
      </c>
      <c r="E9" s="88">
        <v>5.4534749060988243</v>
      </c>
      <c r="F9" s="88">
        <v>22.754915170125646</v>
      </c>
      <c r="G9" s="89">
        <v>4.1803581396103979</v>
      </c>
      <c r="H9" t="s">
        <v>88</v>
      </c>
      <c r="I9" t="s">
        <v>91</v>
      </c>
    </row>
    <row r="10" spans="1:9">
      <c r="A10" s="26"/>
      <c r="B10" s="86" t="s">
        <v>24</v>
      </c>
      <c r="C10" s="87">
        <v>-52.442728762118804</v>
      </c>
      <c r="D10" s="88">
        <v>10.723510536210171</v>
      </c>
      <c r="E10" s="88">
        <v>5.0839295495044636</v>
      </c>
      <c r="F10" s="88">
        <v>20.067895830167455</v>
      </c>
      <c r="G10" s="89">
        <v>3.9473198113304884</v>
      </c>
      <c r="H10" t="s">
        <v>88</v>
      </c>
      <c r="I10" t="s">
        <v>92</v>
      </c>
    </row>
    <row r="11" spans="1:9">
      <c r="A11" s="26"/>
      <c r="B11" s="86" t="s">
        <v>25</v>
      </c>
      <c r="C11" s="87">
        <v>-90.127266048574029</v>
      </c>
      <c r="D11" s="88">
        <v>20.974881582130863</v>
      </c>
      <c r="E11" s="88">
        <v>6.0064942128837169</v>
      </c>
      <c r="F11" s="88">
        <v>21.634592327546152</v>
      </c>
      <c r="G11" s="89">
        <v>3.6017024307132757</v>
      </c>
      <c r="H11" t="s">
        <v>93</v>
      </c>
      <c r="I11" t="s">
        <v>89</v>
      </c>
    </row>
    <row r="12" spans="1:9">
      <c r="A12" s="26"/>
      <c r="B12" s="86" t="s">
        <v>26</v>
      </c>
      <c r="C12" s="87">
        <v>-44.300842502862906</v>
      </c>
      <c r="D12" s="88">
        <v>12.61531426229611</v>
      </c>
      <c r="E12" s="88">
        <v>5.4481168439046872</v>
      </c>
      <c r="F12" s="88">
        <v>21.360957714379975</v>
      </c>
      <c r="G12" s="89">
        <v>3.9200104538115417</v>
      </c>
      <c r="H12" t="s">
        <v>93</v>
      </c>
      <c r="I12" t="s">
        <v>90</v>
      </c>
    </row>
    <row r="13" spans="1:9">
      <c r="A13" s="26"/>
      <c r="B13" s="86" t="s">
        <v>27</v>
      </c>
      <c r="C13" s="87">
        <v>-46.108777792601359</v>
      </c>
      <c r="D13" s="88">
        <v>12.094893194848552</v>
      </c>
      <c r="E13" s="88">
        <v>5.5080871778207019</v>
      </c>
      <c r="F13" s="88">
        <v>22.8604436099167</v>
      </c>
      <c r="G13" s="89">
        <v>4.1503771027699141</v>
      </c>
      <c r="H13" t="s">
        <v>93</v>
      </c>
      <c r="I13" t="s">
        <v>91</v>
      </c>
    </row>
    <row r="14" spans="1:9">
      <c r="A14" s="26"/>
      <c r="B14" s="86" t="s">
        <v>28</v>
      </c>
      <c r="C14" s="87">
        <v>-91.521311824374834</v>
      </c>
      <c r="D14" s="88">
        <v>10.235798167228623</v>
      </c>
      <c r="E14" s="88">
        <v>11.386191908115304</v>
      </c>
      <c r="F14" s="88">
        <v>39.187618063547461</v>
      </c>
      <c r="G14" s="89">
        <v>3.6262768123231952</v>
      </c>
      <c r="H14" t="s">
        <v>93</v>
      </c>
      <c r="I14" t="s">
        <v>92</v>
      </c>
    </row>
    <row r="15" spans="1:9">
      <c r="A15" s="26"/>
      <c r="B15" s="86" t="s">
        <v>29</v>
      </c>
      <c r="C15" s="87">
        <v>-103.00314232048299</v>
      </c>
      <c r="D15" s="88">
        <v>6.6413831519196549</v>
      </c>
      <c r="E15" s="88">
        <v>5.5030955177125769</v>
      </c>
      <c r="F15" s="88">
        <v>20.543475490846962</v>
      </c>
      <c r="G15" s="89">
        <v>3.7319018870914098</v>
      </c>
      <c r="H15" t="s">
        <v>94</v>
      </c>
      <c r="I15" t="s">
        <v>89</v>
      </c>
    </row>
    <row r="16" spans="1:9">
      <c r="A16" s="20"/>
      <c r="B16" s="21" t="s">
        <v>30</v>
      </c>
      <c r="C16" s="90">
        <v>-99.71673603070758</v>
      </c>
      <c r="D16" s="24">
        <v>6.9098687442699571</v>
      </c>
      <c r="E16" s="24">
        <v>5.7809386392121906</v>
      </c>
      <c r="F16" s="24">
        <v>21.840292608031163</v>
      </c>
      <c r="G16" s="91">
        <v>3.77796441325264</v>
      </c>
      <c r="H16" t="s">
        <v>94</v>
      </c>
      <c r="I16" t="s">
        <v>90</v>
      </c>
    </row>
    <row r="17" spans="1:9">
      <c r="A17" s="20"/>
      <c r="B17" s="21" t="s">
        <v>31</v>
      </c>
      <c r="C17" s="90">
        <v>-20.72767257469809</v>
      </c>
      <c r="D17" s="24">
        <v>13.135807609708451</v>
      </c>
      <c r="E17" s="24">
        <v>5.7792229728107216</v>
      </c>
      <c r="F17" s="24">
        <v>23.822711091771165</v>
      </c>
      <c r="G17" s="91">
        <v>4.1579636069007888</v>
      </c>
      <c r="H17" t="s">
        <v>94</v>
      </c>
      <c r="I17" t="s">
        <v>91</v>
      </c>
    </row>
    <row r="18" spans="1:9">
      <c r="A18" s="20"/>
      <c r="B18" s="21" t="s">
        <v>32</v>
      </c>
      <c r="C18" s="90">
        <v>-18.442014064891737</v>
      </c>
      <c r="D18" s="24">
        <v>13.646201885418691</v>
      </c>
      <c r="E18" s="24">
        <v>5.7668568732635723</v>
      </c>
      <c r="F18" s="24">
        <v>22.258286672515275</v>
      </c>
      <c r="G18" s="91">
        <v>3.859691190830421</v>
      </c>
      <c r="H18" t="s">
        <v>94</v>
      </c>
      <c r="I18" t="s">
        <v>92</v>
      </c>
    </row>
    <row r="19" spans="1:9">
      <c r="A19" s="20"/>
      <c r="B19" s="21" t="s">
        <v>33</v>
      </c>
      <c r="C19" s="90">
        <v>-99.677612146305364</v>
      </c>
      <c r="D19" s="24">
        <v>9.3267644936510976</v>
      </c>
      <c r="E19" s="24">
        <v>5.7140885028444082</v>
      </c>
      <c r="F19" s="24">
        <v>21.48831266721163</v>
      </c>
      <c r="G19" s="91">
        <v>3.7606528499012168</v>
      </c>
      <c r="H19" t="s">
        <v>95</v>
      </c>
      <c r="I19" t="s">
        <v>89</v>
      </c>
    </row>
    <row r="20" spans="1:9">
      <c r="A20" s="20"/>
      <c r="B20" s="21" t="s">
        <v>34</v>
      </c>
      <c r="C20" s="90">
        <v>-75.46198685322247</v>
      </c>
      <c r="D20" s="24">
        <v>11.349406572848281</v>
      </c>
      <c r="E20" s="24">
        <v>4.3533065948650576</v>
      </c>
      <c r="F20" s="24">
        <v>16.938463786116309</v>
      </c>
      <c r="G20" s="91">
        <v>4.001383331712379</v>
      </c>
      <c r="H20" t="s">
        <v>95</v>
      </c>
      <c r="I20" t="s">
        <v>90</v>
      </c>
    </row>
    <row r="21" spans="1:9">
      <c r="A21" s="20"/>
      <c r="B21" s="21" t="s">
        <v>35</v>
      </c>
      <c r="C21" s="90">
        <v>-53.737935251009048</v>
      </c>
      <c r="D21" s="24">
        <v>11.022582463526078</v>
      </c>
      <c r="E21" s="24">
        <v>5.5459185137885392</v>
      </c>
      <c r="F21" s="24">
        <v>22.087103578153659</v>
      </c>
      <c r="G21" s="91">
        <v>3.9871567955031528</v>
      </c>
      <c r="H21" t="s">
        <v>95</v>
      </c>
      <c r="I21" t="s">
        <v>91</v>
      </c>
    </row>
    <row r="22" spans="1:9">
      <c r="A22" s="20"/>
      <c r="B22" s="21" t="s">
        <v>36</v>
      </c>
      <c r="C22" s="90">
        <v>-51.544938572681531</v>
      </c>
      <c r="D22" s="24">
        <v>11.704869349781319</v>
      </c>
      <c r="E22" s="24">
        <v>11.625725552331215</v>
      </c>
      <c r="F22" s="24">
        <v>44.88172698039557</v>
      </c>
      <c r="G22" s="91">
        <v>3.8605527696631192</v>
      </c>
      <c r="H22" t="s">
        <v>95</v>
      </c>
      <c r="I22" t="s">
        <v>92</v>
      </c>
    </row>
    <row r="23" spans="1:9">
      <c r="A23" s="20"/>
      <c r="B23" s="21" t="s">
        <v>37</v>
      </c>
      <c r="C23" s="90">
        <v>-118.13790812866</v>
      </c>
      <c r="D23" s="24">
        <v>6.8182663068354401</v>
      </c>
      <c r="E23" s="24">
        <v>5.7270019322655052</v>
      </c>
      <c r="F23" s="24">
        <v>21.3743070140615</v>
      </c>
      <c r="G23" s="91">
        <v>3.7323055048047338</v>
      </c>
      <c r="H23" t="s">
        <v>96</v>
      </c>
      <c r="I23" t="s">
        <v>89</v>
      </c>
    </row>
    <row r="24" spans="1:9">
      <c r="A24" s="20"/>
      <c r="B24" s="21" t="s">
        <v>38</v>
      </c>
      <c r="C24" s="90">
        <v>-111.28711005467289</v>
      </c>
      <c r="D24" s="24">
        <v>12.554720164531162</v>
      </c>
      <c r="E24" s="24">
        <v>4.8539797154988369</v>
      </c>
      <c r="F24" s="24">
        <v>18.655895725043891</v>
      </c>
      <c r="G24" s="91">
        <v>3.9265923022208624</v>
      </c>
      <c r="H24" t="s">
        <v>96</v>
      </c>
      <c r="I24" t="s">
        <v>90</v>
      </c>
    </row>
    <row r="25" spans="1:9">
      <c r="A25" s="20"/>
      <c r="B25" s="21" t="s">
        <v>39</v>
      </c>
      <c r="C25" s="90">
        <v>-52.667176309478236</v>
      </c>
      <c r="D25" s="24">
        <v>12.071366946264035</v>
      </c>
      <c r="E25" s="24">
        <v>5.6722713347029341</v>
      </c>
      <c r="F25" s="24">
        <v>23.273330793364075</v>
      </c>
      <c r="G25" s="91">
        <v>4.1086865438285454</v>
      </c>
      <c r="H25" t="s">
        <v>96</v>
      </c>
      <c r="I25" t="s">
        <v>91</v>
      </c>
    </row>
    <row r="26" spans="1:9">
      <c r="A26" s="20"/>
      <c r="B26" s="21" t="s">
        <v>40</v>
      </c>
      <c r="C26" s="90">
        <v>-57.710039093726436</v>
      </c>
      <c r="D26" s="24">
        <v>10.971497855107799</v>
      </c>
      <c r="E26" s="24">
        <v>5.4293003539591638</v>
      </c>
      <c r="F26" s="24">
        <v>22.00294162197693</v>
      </c>
      <c r="G26" s="91">
        <v>4.0528947272367795</v>
      </c>
      <c r="H26" t="s">
        <v>96</v>
      </c>
      <c r="I26" t="s">
        <v>92</v>
      </c>
    </row>
    <row r="27" spans="1:9">
      <c r="A27" s="20"/>
      <c r="B27" s="21" t="s">
        <v>41</v>
      </c>
      <c r="C27" s="90">
        <v>-102.97431419513418</v>
      </c>
      <c r="D27" s="24">
        <v>14.432111371196441</v>
      </c>
      <c r="E27" s="24">
        <v>5.8817587838055641</v>
      </c>
      <c r="F27" s="24">
        <v>21.951465006627366</v>
      </c>
      <c r="G27" s="91">
        <v>3.7321387301253144</v>
      </c>
      <c r="H27" t="s">
        <v>97</v>
      </c>
      <c r="I27" t="s">
        <v>89</v>
      </c>
    </row>
    <row r="28" spans="1:9">
      <c r="A28" s="20"/>
      <c r="B28" s="21" t="s">
        <v>42</v>
      </c>
      <c r="C28" s="90">
        <v>-104.63810885812813</v>
      </c>
      <c r="D28" s="24">
        <v>11.512387059791948</v>
      </c>
      <c r="E28" s="24">
        <v>5.5434107637175192</v>
      </c>
      <c r="F28" s="24">
        <v>21.20783811426552</v>
      </c>
      <c r="G28" s="91">
        <v>3.8235055391403239</v>
      </c>
      <c r="H28" t="s">
        <v>97</v>
      </c>
      <c r="I28" t="s">
        <v>98</v>
      </c>
    </row>
    <row r="29" spans="1:9">
      <c r="A29" s="20"/>
      <c r="B29" s="21" t="s">
        <v>43</v>
      </c>
      <c r="C29" s="90">
        <v>-54.263018962721162</v>
      </c>
      <c r="D29" s="24">
        <v>11.837271285149313</v>
      </c>
      <c r="E29" s="24">
        <v>5.3191674411058649</v>
      </c>
      <c r="F29" s="24">
        <v>21.951073321453269</v>
      </c>
      <c r="G29" s="91">
        <v>4.1240961760056916</v>
      </c>
      <c r="H29" t="s">
        <v>97</v>
      </c>
      <c r="I29" t="s">
        <v>92</v>
      </c>
    </row>
    <row r="30" spans="1:9">
      <c r="A30" s="20"/>
      <c r="B30" s="21" t="s">
        <v>44</v>
      </c>
      <c r="C30" s="90">
        <v>-89.556880997027747</v>
      </c>
      <c r="D30" s="24">
        <v>11.154193210976132</v>
      </c>
      <c r="E30" s="24">
        <v>5.9007662271767591</v>
      </c>
      <c r="F30" s="24">
        <v>22.072320493156255</v>
      </c>
      <c r="G30" s="91">
        <v>3.7410765397059813</v>
      </c>
      <c r="H30" t="s">
        <v>99</v>
      </c>
      <c r="I30" t="s">
        <v>89</v>
      </c>
    </row>
    <row r="31" spans="1:9">
      <c r="A31" s="20"/>
      <c r="B31" s="21" t="s">
        <v>45</v>
      </c>
      <c r="C31" s="90">
        <v>-110.05573727191245</v>
      </c>
      <c r="D31" s="24">
        <v>11.467312366193752</v>
      </c>
      <c r="E31" s="24">
        <v>5.9080153461441114</v>
      </c>
      <c r="F31" s="24">
        <v>21.800031905743868</v>
      </c>
      <c r="G31" s="91">
        <v>3.6914461031834289</v>
      </c>
      <c r="H31" t="s">
        <v>99</v>
      </c>
      <c r="I31" t="s">
        <v>90</v>
      </c>
    </row>
    <row r="32" spans="1:9">
      <c r="A32" s="20"/>
      <c r="B32" s="21" t="s">
        <v>46</v>
      </c>
      <c r="C32" s="90">
        <v>-60.043058095177457</v>
      </c>
      <c r="D32" s="24">
        <v>10.478623804856994</v>
      </c>
      <c r="E32" s="24">
        <v>5.4739202124445203</v>
      </c>
      <c r="F32" s="24">
        <v>22.981452819082197</v>
      </c>
      <c r="G32" s="91">
        <v>4.2080598583011586</v>
      </c>
      <c r="H32" t="s">
        <v>99</v>
      </c>
      <c r="I32" t="s">
        <v>91</v>
      </c>
    </row>
    <row r="33" spans="1:9">
      <c r="A33" s="20"/>
      <c r="B33" s="21" t="s">
        <v>47</v>
      </c>
      <c r="C33" s="90">
        <v>-56.610452026846815</v>
      </c>
      <c r="D33" s="24">
        <v>10.124370661298684</v>
      </c>
      <c r="E33" s="24">
        <v>5.3044713134031021</v>
      </c>
      <c r="F33" s="24">
        <v>21.884171468025166</v>
      </c>
      <c r="G33" s="91">
        <v>4.1281420747366209</v>
      </c>
      <c r="H33" t="s">
        <v>99</v>
      </c>
      <c r="I33" t="s">
        <v>92</v>
      </c>
    </row>
    <row r="34" spans="1:9">
      <c r="A34" s="26"/>
      <c r="B34" s="86" t="s">
        <v>48</v>
      </c>
      <c r="C34" s="87">
        <v>-92.77739442886309</v>
      </c>
      <c r="D34" s="88">
        <v>9.8081172230733955</v>
      </c>
      <c r="E34" s="88">
        <v>5.6130794449260648</v>
      </c>
      <c r="F34" s="88">
        <v>21.386596381583836</v>
      </c>
      <c r="G34" s="89">
        <v>3.8097175542923556</v>
      </c>
      <c r="H34" t="s">
        <v>100</v>
      </c>
      <c r="I34" t="s">
        <v>89</v>
      </c>
    </row>
    <row r="35" spans="1:9">
      <c r="A35" s="26"/>
      <c r="B35" s="86" t="s">
        <v>49</v>
      </c>
      <c r="C35" s="87">
        <v>-57.845943113228259</v>
      </c>
      <c r="D35" s="88">
        <v>10.713385219986918</v>
      </c>
      <c r="E35" s="88">
        <v>4.9158771285375984</v>
      </c>
      <c r="F35" s="88">
        <v>21.889106855819509</v>
      </c>
      <c r="G35" s="89">
        <v>4.4567780379926241</v>
      </c>
      <c r="H35" t="s">
        <v>100</v>
      </c>
      <c r="I35" t="s">
        <v>90</v>
      </c>
    </row>
    <row r="36" spans="1:9">
      <c r="A36" s="26"/>
      <c r="B36" s="86" t="s">
        <v>50</v>
      </c>
      <c r="C36" s="87">
        <v>-69.76843209681283</v>
      </c>
      <c r="D36" s="88">
        <v>9.9955292377851777</v>
      </c>
      <c r="E36" s="88">
        <v>5.5535342679962687</v>
      </c>
      <c r="F36" s="88">
        <v>23.084129961423621</v>
      </c>
      <c r="G36" s="89">
        <v>4.1580436468755337</v>
      </c>
      <c r="H36" t="s">
        <v>100</v>
      </c>
      <c r="I36" t="s">
        <v>91</v>
      </c>
    </row>
    <row r="37" spans="1:9">
      <c r="A37" s="26"/>
      <c r="B37" s="86" t="s">
        <v>51</v>
      </c>
      <c r="C37" s="87">
        <v>-67.48895104243843</v>
      </c>
      <c r="D37" s="88">
        <v>10.910922883369778</v>
      </c>
      <c r="E37" s="88">
        <v>5.5027043429751892</v>
      </c>
      <c r="F37" s="88">
        <v>22.535286862773084</v>
      </c>
      <c r="G37" s="89">
        <v>4.0975140657015343</v>
      </c>
      <c r="H37" t="s">
        <v>100</v>
      </c>
      <c r="I37" t="s">
        <v>92</v>
      </c>
    </row>
    <row r="38" spans="1:9">
      <c r="A38" s="26"/>
      <c r="B38" s="86" t="s">
        <v>52</v>
      </c>
      <c r="C38" s="87">
        <v>-114.44173062856748</v>
      </c>
      <c r="D38" s="88">
        <v>7.4029904355269309</v>
      </c>
      <c r="E38" s="88">
        <v>5.5995258901933909</v>
      </c>
      <c r="F38" s="88">
        <v>21.64591126999985</v>
      </c>
      <c r="G38" s="89">
        <v>3.8666005492333135</v>
      </c>
      <c r="H38" t="s">
        <v>101</v>
      </c>
      <c r="I38" t="s">
        <v>89</v>
      </c>
    </row>
    <row r="39" spans="1:9">
      <c r="A39" s="26"/>
      <c r="B39" s="86" t="s">
        <v>53</v>
      </c>
      <c r="C39" s="87">
        <v>-112.2672663165356</v>
      </c>
      <c r="D39" s="88">
        <v>8.0215184723456616</v>
      </c>
      <c r="E39" s="88">
        <v>5.8152424662011573</v>
      </c>
      <c r="F39" s="88">
        <v>21.788268922637755</v>
      </c>
      <c r="G39" s="89">
        <v>3.7518352695583062</v>
      </c>
      <c r="H39" t="s">
        <v>101</v>
      </c>
      <c r="I39" t="s">
        <v>90</v>
      </c>
    </row>
    <row r="40" spans="1:9">
      <c r="A40" s="26"/>
      <c r="B40" s="86" t="s">
        <v>54</v>
      </c>
      <c r="C40" s="87">
        <v>-117.50780767460515</v>
      </c>
      <c r="D40" s="88">
        <v>12.493517690831737</v>
      </c>
      <c r="E40" s="88">
        <v>5.8086717681499787</v>
      </c>
      <c r="F40" s="88">
        <v>20.286867642741985</v>
      </c>
      <c r="G40" s="89">
        <v>3.4924673673576736</v>
      </c>
      <c r="H40" t="s">
        <v>101</v>
      </c>
      <c r="I40" t="s">
        <v>102</v>
      </c>
    </row>
    <row r="41" spans="1:9">
      <c r="A41" s="26"/>
      <c r="B41" s="86" t="s">
        <v>55</v>
      </c>
      <c r="C41" s="87">
        <v>-50.923074725869355</v>
      </c>
      <c r="D41" s="88">
        <v>10.911097911963282</v>
      </c>
      <c r="E41" s="88">
        <v>5.5225430399494062</v>
      </c>
      <c r="F41" s="88">
        <v>23.831127126488639</v>
      </c>
      <c r="G41" s="89">
        <v>4.3162389681706035</v>
      </c>
      <c r="H41" t="s">
        <v>101</v>
      </c>
      <c r="I41" t="s">
        <v>92</v>
      </c>
    </row>
    <row r="42" spans="1:9">
      <c r="A42" s="26"/>
      <c r="B42" s="86" t="s">
        <v>56</v>
      </c>
      <c r="C42" s="87">
        <v>-111.37977188615173</v>
      </c>
      <c r="D42" s="88">
        <v>8.2141378713226203</v>
      </c>
      <c r="E42" s="88">
        <v>5.733566684880353</v>
      </c>
      <c r="F42" s="88">
        <v>21.488322550120767</v>
      </c>
      <c r="G42" s="89">
        <v>3.7476565336579171</v>
      </c>
      <c r="H42" t="s">
        <v>103</v>
      </c>
      <c r="I42" t="s">
        <v>89</v>
      </c>
    </row>
    <row r="43" spans="1:9">
      <c r="A43" s="26"/>
      <c r="B43" s="86" t="s">
        <v>57</v>
      </c>
      <c r="C43" s="87">
        <v>-130.46605001893954</v>
      </c>
      <c r="D43" s="88">
        <v>9.524892071837229</v>
      </c>
      <c r="E43" s="88">
        <v>3.0565404822044364</v>
      </c>
      <c r="F43" s="88">
        <v>19.219506446075393</v>
      </c>
      <c r="G43" s="89">
        <v>8.4525588906952951</v>
      </c>
      <c r="H43" t="s">
        <v>103</v>
      </c>
      <c r="I43" t="s">
        <v>90</v>
      </c>
    </row>
    <row r="44" spans="1:9">
      <c r="A44" s="26"/>
      <c r="B44" s="86" t="s">
        <v>58</v>
      </c>
      <c r="C44" s="87">
        <v>-106.71101683628831</v>
      </c>
      <c r="D44" s="88">
        <v>10.375948639709705</v>
      </c>
      <c r="E44" s="88">
        <v>5.7276436906721377</v>
      </c>
      <c r="F44" s="88">
        <v>21.031092150906339</v>
      </c>
      <c r="G44" s="89">
        <v>3.6706060787065464</v>
      </c>
      <c r="H44" t="s">
        <v>104</v>
      </c>
      <c r="I44" t="s">
        <v>89</v>
      </c>
    </row>
    <row r="45" spans="1:9">
      <c r="A45" s="93" t="s">
        <v>59</v>
      </c>
      <c r="B45" s="94"/>
      <c r="C45" s="27"/>
      <c r="D45" s="27"/>
      <c r="E45" s="27"/>
      <c r="F45" s="27"/>
      <c r="G45" s="28"/>
    </row>
    <row r="46" spans="1:9" ht="19.8">
      <c r="A46" s="29"/>
      <c r="B46" s="30" t="s">
        <v>60</v>
      </c>
      <c r="C46" s="31" t="s">
        <v>61</v>
      </c>
      <c r="D46" s="32" t="s">
        <v>17</v>
      </c>
      <c r="E46" s="33" t="s">
        <v>18</v>
      </c>
      <c r="F46" s="33" t="s">
        <v>19</v>
      </c>
      <c r="G46" s="34" t="s">
        <v>20</v>
      </c>
    </row>
    <row r="47" spans="1:9">
      <c r="A47" s="35" t="s">
        <v>5</v>
      </c>
      <c r="B47" s="36" t="s">
        <v>5</v>
      </c>
      <c r="C47" s="37">
        <v>-175.39056507159239</v>
      </c>
      <c r="D47" s="38">
        <v>6.0297816517415583</v>
      </c>
      <c r="E47" s="37">
        <v>6.2405352648363674</v>
      </c>
      <c r="F47" s="37">
        <v>22.589180232425782</v>
      </c>
      <c r="G47" s="39">
        <v>3.6197504338625177</v>
      </c>
    </row>
    <row r="48" spans="1:9" ht="19.8">
      <c r="A48" s="40" t="s">
        <v>62</v>
      </c>
      <c r="B48" s="41" t="s">
        <v>5</v>
      </c>
      <c r="C48" s="38">
        <v>-172.73425923587138</v>
      </c>
      <c r="D48" s="38">
        <v>5.8390376401545723</v>
      </c>
      <c r="E48" s="38">
        <v>5.9565116291169069</v>
      </c>
      <c r="F48" s="38">
        <v>22.102602706502552</v>
      </c>
      <c r="G48" s="42">
        <v>3.7106622269416123</v>
      </c>
    </row>
    <row r="49" spans="1:7" ht="19.8">
      <c r="A49" s="43" t="s">
        <v>63</v>
      </c>
      <c r="B49" s="44" t="s">
        <v>5</v>
      </c>
      <c r="C49" s="38">
        <v>-172.33478378460768</v>
      </c>
      <c r="D49" s="38">
        <v>6.1941581432905082</v>
      </c>
      <c r="E49" s="38">
        <v>5.9055768429197641</v>
      </c>
      <c r="F49" s="38">
        <v>22.467163425357043</v>
      </c>
      <c r="G49" s="42">
        <v>3.8043977790743808</v>
      </c>
    </row>
    <row r="50" spans="1:7">
      <c r="A50" s="40"/>
      <c r="B50" s="44" t="s">
        <v>5</v>
      </c>
      <c r="C50" s="38">
        <v>-171.41640207706405</v>
      </c>
      <c r="D50" s="38">
        <v>5.8266755367173459</v>
      </c>
      <c r="E50" s="38">
        <v>5.8735975066702224</v>
      </c>
      <c r="F50" s="38">
        <v>22.387034106589798</v>
      </c>
      <c r="G50" s="42">
        <v>3.8114688793650662</v>
      </c>
    </row>
    <row r="51" spans="1:7">
      <c r="A51" s="43"/>
      <c r="B51" s="44" t="s">
        <v>5</v>
      </c>
      <c r="C51" s="38">
        <v>-171.81961642817399</v>
      </c>
      <c r="D51" s="38">
        <v>5.7716502230415756</v>
      </c>
      <c r="E51" s="38">
        <v>5.7683796044272597</v>
      </c>
      <c r="F51" s="38">
        <v>22.199115132783461</v>
      </c>
      <c r="G51" s="42">
        <v>3.8484143997294371</v>
      </c>
    </row>
    <row r="52" spans="1:7">
      <c r="A52" s="45"/>
      <c r="B52" s="44" t="s">
        <v>5</v>
      </c>
      <c r="C52" s="46">
        <v>-171.52347797121729</v>
      </c>
      <c r="D52" s="46">
        <v>6.4916972894613991</v>
      </c>
      <c r="E52" s="46">
        <v>5.7549117922126447</v>
      </c>
      <c r="F52" s="46">
        <v>21.94723455710632</v>
      </c>
      <c r="G52" s="42">
        <v>3.8136526413497056</v>
      </c>
    </row>
    <row r="53" spans="1:7">
      <c r="A53" s="35" t="s">
        <v>64</v>
      </c>
      <c r="B53" s="30"/>
      <c r="C53" s="47">
        <f>AVERAGE(C47:C52)</f>
        <v>-172.53651742808779</v>
      </c>
      <c r="D53" s="38">
        <f>AVERAGE(D47:D52)</f>
        <v>6.0255000807344929</v>
      </c>
      <c r="E53" s="38">
        <f>AVERAGE(E47:E52)</f>
        <v>5.9165854400305271</v>
      </c>
      <c r="F53" s="38">
        <f>AVERAGE(F47:F52)</f>
        <v>22.282055026794158</v>
      </c>
      <c r="G53" s="39"/>
    </row>
    <row r="54" spans="1:7">
      <c r="A54" s="48" t="s">
        <v>65</v>
      </c>
      <c r="B54" s="49"/>
      <c r="C54" s="46">
        <f>STDEV(C47:C52)</f>
        <v>1.4846036926603934</v>
      </c>
      <c r="D54" s="46">
        <f>STDEV(D47:D52)</f>
        <v>0.2773239631339337</v>
      </c>
      <c r="E54" s="46">
        <f>STDEV(E47:E52)</f>
        <v>0.17698026968972358</v>
      </c>
      <c r="F54" s="46">
        <f>STDEV(F47:F52)</f>
        <v>0.2411632337426475</v>
      </c>
      <c r="G54" s="50"/>
    </row>
    <row r="55" spans="1:7" ht="19.8">
      <c r="A55" s="51"/>
      <c r="B55" s="49" t="s">
        <v>60</v>
      </c>
      <c r="C55" s="31" t="s">
        <v>61</v>
      </c>
      <c r="D55" s="32" t="s">
        <v>17</v>
      </c>
      <c r="E55" s="33" t="s">
        <v>18</v>
      </c>
      <c r="F55" s="33" t="s">
        <v>19</v>
      </c>
      <c r="G55" s="34" t="s">
        <v>20</v>
      </c>
    </row>
    <row r="56" spans="1:7">
      <c r="A56" s="35" t="s">
        <v>7</v>
      </c>
      <c r="B56" s="37" t="s">
        <v>7</v>
      </c>
      <c r="C56" s="37">
        <v>-34.503398187855055</v>
      </c>
      <c r="D56" s="37">
        <v>25.0760763816969</v>
      </c>
      <c r="E56" s="37">
        <v>5.7666104290988169</v>
      </c>
      <c r="F56" s="37">
        <v>22.465486992971769</v>
      </c>
      <c r="G56" s="39">
        <v>3.8957871819481635</v>
      </c>
    </row>
    <row r="57" spans="1:7" ht="19.8">
      <c r="A57" s="40" t="s">
        <v>66</v>
      </c>
      <c r="B57" s="38" t="s">
        <v>7</v>
      </c>
      <c r="C57" s="38">
        <v>-33.56854326582652</v>
      </c>
      <c r="D57" s="38">
        <v>25.014802453693449</v>
      </c>
      <c r="E57" s="38">
        <v>5.8292495644640967</v>
      </c>
      <c r="F57" s="38">
        <v>22.097033425799413</v>
      </c>
      <c r="G57" s="42">
        <v>3.7907166576819686</v>
      </c>
    </row>
    <row r="58" spans="1:7" ht="19.8">
      <c r="A58" s="43" t="s">
        <v>67</v>
      </c>
      <c r="B58" s="52" t="s">
        <v>7</v>
      </c>
      <c r="C58" s="38">
        <v>-32.757237452435675</v>
      </c>
      <c r="D58" s="38">
        <v>25.412266578544831</v>
      </c>
      <c r="E58" s="38">
        <v>5.845790118066895</v>
      </c>
      <c r="F58" s="38">
        <v>22.363093828650882</v>
      </c>
      <c r="G58" s="42">
        <v>3.8255040596712329</v>
      </c>
    </row>
    <row r="59" spans="1:7">
      <c r="A59" s="40"/>
      <c r="B59" s="53" t="s">
        <v>7</v>
      </c>
      <c r="C59" s="38">
        <v>-35.059369176726705</v>
      </c>
      <c r="D59" s="38">
        <v>25.262025161642185</v>
      </c>
      <c r="E59" s="38">
        <v>5.7770078314689064</v>
      </c>
      <c r="F59" s="38">
        <v>22.31325489985085</v>
      </c>
      <c r="G59" s="42">
        <v>3.8624242083080769</v>
      </c>
    </row>
    <row r="60" spans="1:7">
      <c r="A60" s="43"/>
      <c r="B60" s="53" t="s">
        <v>7</v>
      </c>
      <c r="C60" s="38">
        <v>-33.655027641872948</v>
      </c>
      <c r="D60" s="38">
        <v>24.904554112474386</v>
      </c>
      <c r="E60" s="38">
        <v>5.67188342412667</v>
      </c>
      <c r="F60" s="38">
        <v>22.431705892129298</v>
      </c>
      <c r="G60" s="42">
        <v>3.9548954403242562</v>
      </c>
    </row>
    <row r="61" spans="1:7">
      <c r="A61" s="45"/>
      <c r="B61" s="53" t="s">
        <v>7</v>
      </c>
      <c r="C61" s="38">
        <v>-34.556936134931675</v>
      </c>
      <c r="D61" s="38">
        <v>24.823351209238211</v>
      </c>
      <c r="E61" s="38">
        <v>5.6288638789202539</v>
      </c>
      <c r="F61" s="38">
        <v>22.282755717297714</v>
      </c>
      <c r="G61" s="42">
        <v>3.9586595442013177</v>
      </c>
    </row>
    <row r="62" spans="1:7">
      <c r="A62" s="35" t="s">
        <v>64</v>
      </c>
      <c r="B62" s="30"/>
      <c r="C62" s="37">
        <f>AVERAGE(C56:C61)</f>
        <v>-34.016751976608099</v>
      </c>
      <c r="D62" s="37">
        <f>AVERAGE(D56:D61)</f>
        <v>25.082179316214994</v>
      </c>
      <c r="E62" s="37">
        <f>AVERAGE(E56:E61)</f>
        <v>5.75323420769094</v>
      </c>
      <c r="F62" s="37">
        <f>AVERAGE(F56:F61)</f>
        <v>22.325555126116654</v>
      </c>
      <c r="G62" s="39"/>
    </row>
    <row r="63" spans="1:7">
      <c r="A63" s="45" t="s">
        <v>65</v>
      </c>
      <c r="B63" s="54"/>
      <c r="C63" s="38">
        <f>STDEV(C56:C61)</f>
        <v>0.84068858267128732</v>
      </c>
      <c r="D63" s="38">
        <f>STDEV(D56:D61)</f>
        <v>0.22109804080899681</v>
      </c>
      <c r="E63" s="38">
        <f>STDEV(E56:E61)</f>
        <v>8.6226409136192381E-2</v>
      </c>
      <c r="F63" s="38">
        <f>STDEV(F56:F61)</f>
        <v>0.13150157349013389</v>
      </c>
      <c r="G63" s="50"/>
    </row>
    <row r="64" spans="1:7">
      <c r="A64" s="55" t="s">
        <v>68</v>
      </c>
      <c r="B64" s="56"/>
      <c r="C64" s="57"/>
      <c r="D64" s="57"/>
      <c r="E64" s="57"/>
      <c r="F64" s="57"/>
      <c r="G64" s="58"/>
    </row>
    <row r="65" spans="1:7" ht="19.8">
      <c r="A65" s="59"/>
      <c r="B65" s="60" t="s">
        <v>60</v>
      </c>
      <c r="C65" s="61" t="s">
        <v>69</v>
      </c>
      <c r="D65" s="61" t="s">
        <v>70</v>
      </c>
      <c r="E65" s="62" t="s">
        <v>18</v>
      </c>
      <c r="F65" s="62" t="s">
        <v>19</v>
      </c>
      <c r="G65" s="63" t="s">
        <v>71</v>
      </c>
    </row>
    <row r="66" spans="1:7">
      <c r="A66" s="55" t="s">
        <v>9</v>
      </c>
      <c r="B66" s="64" t="s">
        <v>9</v>
      </c>
      <c r="C66" s="64">
        <v>-101.67293025081153</v>
      </c>
      <c r="D66" s="64">
        <v>12.338235802419717</v>
      </c>
      <c r="E66" s="64">
        <v>5.8968277253393993</v>
      </c>
      <c r="F66" s="64">
        <v>21.718811739138829</v>
      </c>
      <c r="G66" s="65">
        <v>3.6831348566976789</v>
      </c>
    </row>
    <row r="67" spans="1:7" ht="19.8">
      <c r="A67" s="66" t="s">
        <v>72</v>
      </c>
      <c r="B67" s="67" t="s">
        <v>9</v>
      </c>
      <c r="C67" s="67">
        <v>-102.08476061293914</v>
      </c>
      <c r="D67" s="67">
        <v>12.363718736616001</v>
      </c>
      <c r="E67" s="67">
        <v>5.9318452961309731</v>
      </c>
      <c r="F67" s="67">
        <v>21.801665458887349</v>
      </c>
      <c r="G67" s="68">
        <v>3.6753597524040984</v>
      </c>
    </row>
    <row r="68" spans="1:7" ht="19.8">
      <c r="A68" s="69" t="s">
        <v>73</v>
      </c>
      <c r="B68" s="70" t="s">
        <v>9</v>
      </c>
      <c r="C68" s="67">
        <v>-100.66806416722147</v>
      </c>
      <c r="D68" s="67">
        <v>12.842281781207703</v>
      </c>
      <c r="E68" s="67">
        <v>5.8878349614466696</v>
      </c>
      <c r="F68" s="67">
        <v>21.868666265710612</v>
      </c>
      <c r="G68" s="68">
        <v>3.7142118297992126</v>
      </c>
    </row>
    <row r="69" spans="1:7" ht="18.600000000000001">
      <c r="A69" s="66"/>
      <c r="B69" s="70" t="s">
        <v>9</v>
      </c>
      <c r="C69" s="67">
        <v>-101.77176953772232</v>
      </c>
      <c r="D69" s="67">
        <v>12.443145573769799</v>
      </c>
      <c r="E69" s="67">
        <v>5.9790229162988346</v>
      </c>
      <c r="F69" s="67">
        <v>22.710256407947327</v>
      </c>
      <c r="G69" s="68">
        <v>3.798322355654316</v>
      </c>
    </row>
    <row r="70" spans="1:7" ht="18.600000000000001">
      <c r="A70" s="69"/>
      <c r="B70" s="70" t="s">
        <v>9</v>
      </c>
      <c r="C70" s="67">
        <v>-102.05593248759033</v>
      </c>
      <c r="D70" s="67">
        <v>12.432318559926401</v>
      </c>
      <c r="E70" s="67">
        <v>5.7689987458459049</v>
      </c>
      <c r="F70" s="67">
        <v>21.653805806764673</v>
      </c>
      <c r="G70" s="68">
        <v>3.7534772948870851</v>
      </c>
    </row>
    <row r="71" spans="1:7" ht="18.600000000000001">
      <c r="A71" s="71"/>
      <c r="B71" s="70" t="s">
        <v>9</v>
      </c>
      <c r="C71" s="67">
        <v>-103.00726062410422</v>
      </c>
      <c r="D71" s="67">
        <v>12.537150344380962</v>
      </c>
      <c r="E71" s="67">
        <v>5.994985363651387</v>
      </c>
      <c r="F71" s="67">
        <v>21.844077214766529</v>
      </c>
      <c r="G71" s="68">
        <v>3.6437248616503508</v>
      </c>
    </row>
    <row r="72" spans="1:7">
      <c r="A72" s="55" t="s">
        <v>64</v>
      </c>
      <c r="B72" s="56"/>
      <c r="C72" s="64">
        <f>AVERAGE(C66:C71)</f>
        <v>-101.87678628006483</v>
      </c>
      <c r="D72" s="64">
        <f>AVERAGE(D66:D71)</f>
        <v>12.492808466386762</v>
      </c>
      <c r="E72" s="64">
        <f>AVERAGE(E66:E71)</f>
        <v>5.9099191681188614</v>
      </c>
      <c r="F72" s="64">
        <f>AVERAGE(F66:F71)</f>
        <v>21.932880482202552</v>
      </c>
      <c r="G72" s="65"/>
    </row>
    <row r="73" spans="1:7">
      <c r="A73" s="72" t="s">
        <v>65</v>
      </c>
      <c r="B73" s="73"/>
      <c r="C73" s="74">
        <f>STDEV(C66:C71)</f>
        <v>0.75722042659297428</v>
      </c>
      <c r="D73" s="74">
        <f>STDEV(D66:D71)</f>
        <v>0.18481347265868536</v>
      </c>
      <c r="E73" s="74">
        <f>STDEV(E66:E71)</f>
        <v>8.1252697427813353E-2</v>
      </c>
      <c r="F73" s="74">
        <f>STDEV(F66:F71)</f>
        <v>0.38916533746102883</v>
      </c>
      <c r="G73" s="75"/>
    </row>
    <row r="74" spans="1:7" ht="19.8">
      <c r="A74" s="71" t="s">
        <v>74</v>
      </c>
      <c r="B74" s="76" t="s">
        <v>75</v>
      </c>
      <c r="C74" s="57">
        <v>-102.9</v>
      </c>
      <c r="D74" s="77"/>
      <c r="E74" s="77"/>
      <c r="F74" s="77"/>
      <c r="G74" s="78"/>
    </row>
    <row r="75" spans="1:7">
      <c r="A75" s="71" t="s">
        <v>76</v>
      </c>
      <c r="B75" s="79"/>
      <c r="C75" s="80">
        <v>-98.9</v>
      </c>
      <c r="D75" s="80"/>
      <c r="E75" s="77"/>
      <c r="F75" s="77"/>
      <c r="G75" s="78"/>
    </row>
    <row r="76" spans="1:7" ht="19.8">
      <c r="A76" s="55" t="s">
        <v>74</v>
      </c>
      <c r="B76" s="81" t="s">
        <v>77</v>
      </c>
      <c r="C76" s="77"/>
      <c r="D76" s="77">
        <v>12.14</v>
      </c>
      <c r="E76" s="57"/>
      <c r="F76" s="57"/>
      <c r="G76" s="58"/>
    </row>
    <row r="77" spans="1:7" ht="16.2" thickBot="1">
      <c r="A77" s="82" t="s">
        <v>78</v>
      </c>
      <c r="B77" s="83"/>
      <c r="C77" s="84"/>
      <c r="D77" s="77">
        <v>12.54</v>
      </c>
      <c r="E77" s="84"/>
      <c r="F77" s="84"/>
      <c r="G77" s="85"/>
    </row>
    <row r="78" spans="1:7" ht="16.2" thickBot="1"/>
    <row r="79" spans="1:7">
      <c r="A79" s="1" t="s">
        <v>0</v>
      </c>
      <c r="B79" s="2"/>
      <c r="C79" s="3"/>
      <c r="D79" s="3"/>
      <c r="E79" s="3"/>
      <c r="F79" s="3"/>
      <c r="G79" s="4"/>
    </row>
    <row r="80" spans="1:7">
      <c r="A80" s="5" t="s">
        <v>79</v>
      </c>
      <c r="B80" s="6"/>
      <c r="C80" s="7"/>
      <c r="D80" s="8" t="s">
        <v>2</v>
      </c>
      <c r="E80" s="9"/>
      <c r="F80" s="7" t="s">
        <v>3</v>
      </c>
      <c r="G80" s="10"/>
    </row>
    <row r="81" spans="1:9">
      <c r="A81" s="5" t="s">
        <v>4</v>
      </c>
      <c r="B81" s="6"/>
      <c r="C81" s="7" t="s">
        <v>5</v>
      </c>
      <c r="D81" s="8" t="s">
        <v>6</v>
      </c>
      <c r="E81" s="8"/>
      <c r="F81" s="9" t="s">
        <v>7</v>
      </c>
      <c r="G81" s="11"/>
    </row>
    <row r="82" spans="1:9">
      <c r="A82" s="5" t="s">
        <v>8</v>
      </c>
      <c r="B82" s="12"/>
      <c r="C82" s="13" t="s">
        <v>9</v>
      </c>
      <c r="D82" s="9" t="s">
        <v>10</v>
      </c>
      <c r="E82" s="9"/>
      <c r="F82" s="9"/>
      <c r="G82" s="11"/>
    </row>
    <row r="83" spans="1:9">
      <c r="A83" s="14" t="s">
        <v>11</v>
      </c>
      <c r="B83" s="15"/>
      <c r="C83" s="16"/>
      <c r="D83" s="17" t="s">
        <v>12</v>
      </c>
      <c r="E83" s="16"/>
      <c r="F83" s="18" t="s">
        <v>80</v>
      </c>
      <c r="G83" s="19"/>
    </row>
    <row r="84" spans="1:9" ht="19.8">
      <c r="A84" s="20" t="s">
        <v>14</v>
      </c>
      <c r="B84" s="21" t="s">
        <v>15</v>
      </c>
      <c r="C84" s="22" t="s">
        <v>16</v>
      </c>
      <c r="D84" s="23" t="s">
        <v>17</v>
      </c>
      <c r="E84" s="24" t="s">
        <v>18</v>
      </c>
      <c r="F84" s="24" t="s">
        <v>19</v>
      </c>
      <c r="G84" s="25" t="s">
        <v>20</v>
      </c>
      <c r="H84" t="s">
        <v>86</v>
      </c>
      <c r="I84" t="s">
        <v>87</v>
      </c>
    </row>
    <row r="85" spans="1:9">
      <c r="A85" s="20"/>
      <c r="B85" s="21" t="s">
        <v>81</v>
      </c>
      <c r="C85" s="90">
        <v>-99.864322642212755</v>
      </c>
      <c r="D85" s="24">
        <v>14.178555127315249</v>
      </c>
      <c r="E85" s="24">
        <v>5.8462125217497771</v>
      </c>
      <c r="F85" s="24">
        <v>22.213553086589691</v>
      </c>
      <c r="G85" s="91">
        <v>3.7996501685182511</v>
      </c>
      <c r="H85" t="s">
        <v>104</v>
      </c>
      <c r="I85" t="s">
        <v>90</v>
      </c>
    </row>
    <row r="86" spans="1:9">
      <c r="A86" s="20"/>
      <c r="B86" s="21" t="s">
        <v>82</v>
      </c>
      <c r="C86" s="90">
        <v>-62.481540800008588</v>
      </c>
      <c r="D86" s="24">
        <v>13.251796238357201</v>
      </c>
      <c r="E86" s="24">
        <v>4.8619674312849748</v>
      </c>
      <c r="F86" s="24">
        <v>19.751286582836578</v>
      </c>
      <c r="G86" s="91">
        <v>4.0624061888494571</v>
      </c>
      <c r="H86" t="s">
        <v>104</v>
      </c>
      <c r="I86" t="s">
        <v>92</v>
      </c>
    </row>
    <row r="87" spans="1:9">
      <c r="A87" s="26"/>
      <c r="B87" s="86" t="s">
        <v>83</v>
      </c>
      <c r="C87" s="87">
        <v>-9.6094454602136921</v>
      </c>
      <c r="D87" s="88">
        <v>15.654385083060035</v>
      </c>
      <c r="E87" s="88">
        <v>5.4353201992178732</v>
      </c>
      <c r="F87" s="88">
        <v>23.004216818500314</v>
      </c>
      <c r="G87" s="89">
        <v>4.2320854395866814</v>
      </c>
      <c r="H87" t="s">
        <v>105</v>
      </c>
      <c r="I87" t="s">
        <v>106</v>
      </c>
    </row>
    <row r="88" spans="1:9">
      <c r="A88" s="26"/>
      <c r="B88" s="86" t="s">
        <v>84</v>
      </c>
      <c r="C88" s="87">
        <v>-105.49295066139575</v>
      </c>
      <c r="D88" s="88">
        <v>8.0035389953704907</v>
      </c>
      <c r="E88" s="88">
        <v>5.3535747997854548</v>
      </c>
      <c r="F88" s="88">
        <v>20.912239650874241</v>
      </c>
      <c r="G88" s="89">
        <v>3.9065168120892118</v>
      </c>
      <c r="H88" t="s">
        <v>105</v>
      </c>
      <c r="I88" t="s">
        <v>107</v>
      </c>
    </row>
    <row r="89" spans="1:9">
      <c r="A89" s="26"/>
      <c r="B89" s="86" t="s">
        <v>85</v>
      </c>
      <c r="C89" s="87">
        <v>-104.06147881566017</v>
      </c>
      <c r="D89" s="88">
        <v>7.7641909723165696</v>
      </c>
      <c r="E89" s="88">
        <v>5.578826521704892</v>
      </c>
      <c r="F89" s="88">
        <v>22.370269347888858</v>
      </c>
      <c r="G89" s="89">
        <v>4.0134275976692857</v>
      </c>
      <c r="H89" t="s">
        <v>105</v>
      </c>
      <c r="I89" t="s">
        <v>108</v>
      </c>
    </row>
    <row r="90" spans="1:9">
      <c r="A90" s="93" t="s">
        <v>59</v>
      </c>
      <c r="B90" s="94"/>
      <c r="C90" s="27"/>
      <c r="D90" s="27"/>
      <c r="E90" s="27"/>
      <c r="F90" s="27"/>
      <c r="G90" s="28"/>
    </row>
    <row r="91" spans="1:9" ht="19.8">
      <c r="A91" s="29"/>
      <c r="B91" s="30" t="s">
        <v>60</v>
      </c>
      <c r="C91" s="31" t="s">
        <v>61</v>
      </c>
      <c r="D91" s="32" t="s">
        <v>17</v>
      </c>
      <c r="E91" s="33" t="s">
        <v>18</v>
      </c>
      <c r="F91" s="33" t="s">
        <v>19</v>
      </c>
      <c r="G91" s="34" t="s">
        <v>20</v>
      </c>
    </row>
    <row r="92" spans="1:9">
      <c r="A92" s="35" t="s">
        <v>5</v>
      </c>
      <c r="B92" s="36" t="s">
        <v>5</v>
      </c>
      <c r="C92" s="37">
        <v>-170.2925590544105</v>
      </c>
      <c r="D92" s="38">
        <v>6.3501516567658314</v>
      </c>
      <c r="E92" s="37">
        <v>5.9481344540888772</v>
      </c>
      <c r="F92" s="37">
        <v>22.371321716708607</v>
      </c>
      <c r="G92" s="39">
        <v>3.7610652364003094</v>
      </c>
    </row>
    <row r="93" spans="1:9" ht="19.8">
      <c r="A93" s="40" t="s">
        <v>62</v>
      </c>
      <c r="B93" s="41" t="s">
        <v>5</v>
      </c>
      <c r="C93" s="38">
        <v>-173.25775246940384</v>
      </c>
      <c r="D93" s="38">
        <v>5.9943353025308284</v>
      </c>
      <c r="E93" s="38">
        <v>5.9464155160693055</v>
      </c>
      <c r="F93" s="38">
        <v>22.361136881208964</v>
      </c>
      <c r="G93" s="42">
        <v>3.7604396835003051</v>
      </c>
    </row>
    <row r="94" spans="1:9" ht="19.8">
      <c r="A94" s="43" t="s">
        <v>63</v>
      </c>
      <c r="B94" s="44" t="s">
        <v>5</v>
      </c>
      <c r="C94" s="38">
        <v>-172.40607996426979</v>
      </c>
      <c r="D94" s="38">
        <v>5.8752393740265063</v>
      </c>
      <c r="E94" s="38">
        <v>5.9343230818739947</v>
      </c>
      <c r="F94" s="38">
        <v>22.681207166943775</v>
      </c>
      <c r="G94" s="42">
        <v>3.8220378051579385</v>
      </c>
    </row>
    <row r="95" spans="1:9">
      <c r="A95" s="40"/>
      <c r="B95" s="44" t="s">
        <v>5</v>
      </c>
      <c r="C95" s="38">
        <v>-173.58221977778339</v>
      </c>
      <c r="D95" s="38">
        <v>6.1375263536438922</v>
      </c>
      <c r="E95" s="38">
        <v>5.9300212710581732</v>
      </c>
      <c r="F95" s="38">
        <v>22.629188431460957</v>
      </c>
      <c r="G95" s="42">
        <v>3.8160383238259326</v>
      </c>
    </row>
    <row r="96" spans="1:9">
      <c r="A96" s="43"/>
      <c r="B96" s="44" t="s">
        <v>5</v>
      </c>
      <c r="C96" s="38">
        <v>-170.90337923659399</v>
      </c>
      <c r="D96" s="38">
        <v>5.9015377281370434</v>
      </c>
      <c r="E96" s="38">
        <v>5.8510135428476806</v>
      </c>
      <c r="F96" s="38">
        <v>22.318671168629347</v>
      </c>
      <c r="G96" s="42">
        <v>3.8144965834016649</v>
      </c>
    </row>
    <row r="97" spans="1:7">
      <c r="A97" s="45"/>
      <c r="B97" s="44" t="s">
        <v>5</v>
      </c>
      <c r="C97" s="46">
        <v>-173.87495132301956</v>
      </c>
      <c r="D97" s="46">
        <v>5.8825428262165929</v>
      </c>
      <c r="E97" s="46">
        <v>5.992364004354684</v>
      </c>
      <c r="F97" s="46">
        <v>22.643870049822155</v>
      </c>
      <c r="G97" s="42">
        <v>3.7787874757552662</v>
      </c>
    </row>
    <row r="98" spans="1:7">
      <c r="A98" s="35" t="s">
        <v>64</v>
      </c>
      <c r="B98" s="30"/>
      <c r="C98" s="47">
        <f>AVERAGE(C92:C97)</f>
        <v>-172.3861569709135</v>
      </c>
      <c r="D98" s="38">
        <f>AVERAGE(D92:D97)</f>
        <v>6.0235555402201157</v>
      </c>
      <c r="E98" s="38">
        <f>AVERAGE(E92:E97)</f>
        <v>5.9337119783821199</v>
      </c>
      <c r="F98" s="38">
        <f>AVERAGE(F92:F97)</f>
        <v>22.500899235795639</v>
      </c>
      <c r="G98" s="39"/>
    </row>
    <row r="99" spans="1:7">
      <c r="A99" s="48" t="s">
        <v>65</v>
      </c>
      <c r="B99" s="49"/>
      <c r="C99" s="46">
        <f>STDEV(C92:C97)</f>
        <v>1.4824933419663422</v>
      </c>
      <c r="D99" s="46">
        <f>STDEV(D92:D97)</f>
        <v>0.18829700426527665</v>
      </c>
      <c r="E99" s="46">
        <f>STDEV(E92:E97)</f>
        <v>4.6178942893575874E-2</v>
      </c>
      <c r="F99" s="46">
        <f>STDEV(F92:F97)</f>
        <v>0.16669771390052354</v>
      </c>
      <c r="G99" s="50"/>
    </row>
    <row r="100" spans="1:7" ht="19.8">
      <c r="A100" s="51"/>
      <c r="B100" s="49" t="s">
        <v>60</v>
      </c>
      <c r="C100" s="31" t="s">
        <v>61</v>
      </c>
      <c r="D100" s="32" t="s">
        <v>17</v>
      </c>
      <c r="E100" s="33" t="s">
        <v>18</v>
      </c>
      <c r="F100" s="33" t="s">
        <v>19</v>
      </c>
      <c r="G100" s="34" t="s">
        <v>20</v>
      </c>
    </row>
    <row r="101" spans="1:7">
      <c r="A101" s="35" t="s">
        <v>7</v>
      </c>
      <c r="B101" s="37" t="s">
        <v>7</v>
      </c>
      <c r="C101" s="37">
        <v>-34.049224149254769</v>
      </c>
      <c r="D101" s="37">
        <v>24.514128503718752</v>
      </c>
      <c r="E101" s="37">
        <v>5.7610800948411374</v>
      </c>
      <c r="F101" s="37">
        <v>22.011434049099872</v>
      </c>
      <c r="G101" s="39">
        <v>3.8207130758016028</v>
      </c>
    </row>
    <row r="102" spans="1:7" ht="19.8">
      <c r="A102" s="40" t="s">
        <v>66</v>
      </c>
      <c r="B102" s="38" t="s">
        <v>7</v>
      </c>
      <c r="C102" s="38">
        <v>-34.000403703631946</v>
      </c>
      <c r="D102" s="38">
        <v>24.70878107598449</v>
      </c>
      <c r="E102" s="38">
        <v>5.7017773458450378</v>
      </c>
      <c r="F102" s="38">
        <v>22.025971515239242</v>
      </c>
      <c r="G102" s="42">
        <v>3.8630009871027085</v>
      </c>
    </row>
    <row r="103" spans="1:7" ht="19.8">
      <c r="A103" s="43" t="s">
        <v>67</v>
      </c>
      <c r="B103" s="53" t="s">
        <v>7</v>
      </c>
      <c r="C103" s="38">
        <v>-34.134636864976983</v>
      </c>
      <c r="D103" s="38">
        <v>25.271665421609072</v>
      </c>
      <c r="E103" s="38">
        <v>5.7275421895774015</v>
      </c>
      <c r="F103" s="38">
        <v>21.826012106221597</v>
      </c>
      <c r="G103" s="42">
        <v>3.810711712597965</v>
      </c>
    </row>
    <row r="104" spans="1:7">
      <c r="A104" s="40"/>
      <c r="B104" s="53" t="s">
        <v>7</v>
      </c>
      <c r="C104" s="38">
        <v>-32.53005266595892</v>
      </c>
      <c r="D104" s="38">
        <v>25.058632816227515</v>
      </c>
      <c r="E104" s="38">
        <v>5.8236255981256928</v>
      </c>
      <c r="F104" s="38">
        <v>22.376209823378229</v>
      </c>
      <c r="G104" s="42">
        <v>3.8423160016639653</v>
      </c>
    </row>
    <row r="105" spans="1:7">
      <c r="A105" s="43"/>
      <c r="B105" s="53" t="s">
        <v>7</v>
      </c>
      <c r="C105" s="38">
        <v>-35.193083557466707</v>
      </c>
      <c r="D105" s="38">
        <v>25.313521793113921</v>
      </c>
      <c r="E105" s="38">
        <v>5.6769341868769292</v>
      </c>
      <c r="F105" s="38">
        <v>21.932504088595788</v>
      </c>
      <c r="G105" s="42">
        <v>3.8634416687965145</v>
      </c>
    </row>
    <row r="106" spans="1:7">
      <c r="A106" s="45"/>
      <c r="B106" s="53" t="s">
        <v>7</v>
      </c>
      <c r="C106" s="38">
        <v>-34.179036469825405</v>
      </c>
      <c r="D106" s="38">
        <v>25.076065651744273</v>
      </c>
      <c r="E106" s="38">
        <v>5.695672849610089</v>
      </c>
      <c r="F106" s="38">
        <v>21.938924507630201</v>
      </c>
      <c r="G106" s="42">
        <v>3.8518582592278072</v>
      </c>
    </row>
    <row r="107" spans="1:7">
      <c r="A107" s="35" t="s">
        <v>64</v>
      </c>
      <c r="B107" s="30"/>
      <c r="C107" s="37">
        <f>AVERAGE(C101:C106)</f>
        <v>-34.014406235185788</v>
      </c>
      <c r="D107" s="37">
        <f>AVERAGE(D101:D106)</f>
        <v>24.990465877066338</v>
      </c>
      <c r="E107" s="37">
        <f>AVERAGE(E101:E106)</f>
        <v>5.7311053774793814</v>
      </c>
      <c r="F107" s="37">
        <f>AVERAGE(F101:F106)</f>
        <v>22.018509348360823</v>
      </c>
      <c r="G107" s="39"/>
    </row>
    <row r="108" spans="1:7">
      <c r="A108" s="45" t="s">
        <v>65</v>
      </c>
      <c r="B108" s="54"/>
      <c r="C108" s="38">
        <f>STDEV(C101:C106)</f>
        <v>0.85270776061478126</v>
      </c>
      <c r="D108" s="38">
        <f>STDEV(D101:D106)</f>
        <v>0.31675100068416479</v>
      </c>
      <c r="E108" s="38">
        <f>STDEV(E101:E106)</f>
        <v>5.3891161760393637E-2</v>
      </c>
      <c r="F108" s="38">
        <f>STDEV(F101:F106)</f>
        <v>0.18912493935724528</v>
      </c>
      <c r="G108" s="50"/>
    </row>
    <row r="109" spans="1:7">
      <c r="A109" s="55" t="s">
        <v>68</v>
      </c>
      <c r="B109" s="56"/>
      <c r="C109" s="57"/>
      <c r="D109" s="57"/>
      <c r="E109" s="57"/>
      <c r="F109" s="57"/>
      <c r="G109" s="58"/>
    </row>
    <row r="110" spans="1:7" ht="19.8">
      <c r="A110" s="59"/>
      <c r="B110" s="60" t="s">
        <v>60</v>
      </c>
      <c r="C110" s="61" t="s">
        <v>69</v>
      </c>
      <c r="D110" s="61" t="s">
        <v>70</v>
      </c>
      <c r="E110" s="62" t="s">
        <v>18</v>
      </c>
      <c r="F110" s="62" t="s">
        <v>19</v>
      </c>
      <c r="G110" s="63" t="s">
        <v>71</v>
      </c>
    </row>
    <row r="111" spans="1:7">
      <c r="A111" s="55" t="s">
        <v>9</v>
      </c>
      <c r="B111" s="64" t="s">
        <v>9</v>
      </c>
      <c r="C111" s="64">
        <v>-98.998891633172207</v>
      </c>
      <c r="D111" s="64">
        <v>12.560128010284984</v>
      </c>
      <c r="E111" s="64">
        <v>5.9334126271441745</v>
      </c>
      <c r="F111" s="64">
        <v>22.03206871913569</v>
      </c>
      <c r="G111" s="65">
        <v>3.7132203849001479</v>
      </c>
    </row>
    <row r="112" spans="1:7" ht="19.8">
      <c r="A112" s="66" t="s">
        <v>72</v>
      </c>
      <c r="B112" s="67" t="s">
        <v>9</v>
      </c>
      <c r="C112" s="67">
        <v>-98.363949540648719</v>
      </c>
      <c r="D112" s="67">
        <v>12.569725329102539</v>
      </c>
      <c r="E112" s="67">
        <v>5.9074030866551084</v>
      </c>
      <c r="F112" s="67">
        <v>21.934068908801212</v>
      </c>
      <c r="G112" s="68">
        <v>3.7129798977744595</v>
      </c>
    </row>
    <row r="113" spans="1:7" ht="19.8">
      <c r="A113" s="69" t="s">
        <v>73</v>
      </c>
      <c r="B113" s="92" t="s">
        <v>9</v>
      </c>
      <c r="C113" s="67">
        <v>-101.3321920577032</v>
      </c>
      <c r="D113" s="67">
        <v>12.642260221427847</v>
      </c>
      <c r="E113" s="67">
        <v>5.9403495472924215</v>
      </c>
      <c r="F113" s="67">
        <v>21.999177216775301</v>
      </c>
      <c r="G113" s="68">
        <v>3.7033472595568733</v>
      </c>
    </row>
    <row r="114" spans="1:7">
      <c r="A114" s="66"/>
      <c r="B114" s="92" t="s">
        <v>9</v>
      </c>
      <c r="C114" s="67">
        <v>-101.32391015519579</v>
      </c>
      <c r="D114" s="67">
        <v>12.105674229913717</v>
      </c>
      <c r="E114" s="67">
        <v>5.8548367709895084</v>
      </c>
      <c r="F114" s="67">
        <v>22.081417924089543</v>
      </c>
      <c r="G114" s="68">
        <v>3.7714830981287339</v>
      </c>
    </row>
    <row r="115" spans="1:7">
      <c r="A115" s="69"/>
      <c r="B115" s="92" t="s">
        <v>9</v>
      </c>
      <c r="C115" s="67">
        <v>-99.898195513310384</v>
      </c>
      <c r="D115" s="67">
        <v>12.747054166440478</v>
      </c>
      <c r="E115" s="67">
        <v>5.8924083178722784</v>
      </c>
      <c r="F115" s="67">
        <v>21.963808233761728</v>
      </c>
      <c r="G115" s="68">
        <v>3.7274756006204197</v>
      </c>
    </row>
    <row r="116" spans="1:7">
      <c r="A116" s="71"/>
      <c r="B116" s="92" t="s">
        <v>9</v>
      </c>
      <c r="C116" s="67">
        <v>-99.948531004914003</v>
      </c>
      <c r="D116" s="67">
        <v>12.32736087192896</v>
      </c>
      <c r="E116" s="67">
        <v>5.9757320108636334</v>
      </c>
      <c r="F116" s="67">
        <v>22.332431372794318</v>
      </c>
      <c r="G116" s="68">
        <v>3.7371875666771674</v>
      </c>
    </row>
    <row r="117" spans="1:7">
      <c r="A117" s="55" t="s">
        <v>64</v>
      </c>
      <c r="B117" s="56"/>
      <c r="C117" s="64">
        <f>AVERAGE(C111:C116)</f>
        <v>-99.977611650824045</v>
      </c>
      <c r="D117" s="64">
        <f>AVERAGE(D111:D116)</f>
        <v>12.492033804849754</v>
      </c>
      <c r="E117" s="64">
        <f>AVERAGE(E111:E116)</f>
        <v>5.9173570601361867</v>
      </c>
      <c r="F117" s="64">
        <f>AVERAGE(F111:F116)</f>
        <v>22.05716206255963</v>
      </c>
      <c r="G117" s="65"/>
    </row>
    <row r="118" spans="1:7">
      <c r="A118" s="72" t="s">
        <v>65</v>
      </c>
      <c r="B118" s="73"/>
      <c r="C118" s="74">
        <f>STDEV(C111:C116)</f>
        <v>1.2013624454931593</v>
      </c>
      <c r="D118" s="74">
        <f>STDEV(D111:D116)</f>
        <v>0.23437877497752488</v>
      </c>
      <c r="E118" s="74">
        <f>STDEV(E111:E116)</f>
        <v>4.2010423596071093E-2</v>
      </c>
      <c r="F118" s="74">
        <f>STDEV(F111:F116)</f>
        <v>0.14437473466911357</v>
      </c>
      <c r="G118" s="75"/>
    </row>
    <row r="119" spans="1:7" ht="19.8">
      <c r="A119" s="71" t="s">
        <v>74</v>
      </c>
      <c r="B119" s="76" t="s">
        <v>75</v>
      </c>
      <c r="C119" s="57">
        <v>-102.9</v>
      </c>
      <c r="D119" s="77"/>
      <c r="E119" s="77"/>
      <c r="F119" s="77"/>
      <c r="G119" s="78"/>
    </row>
    <row r="120" spans="1:7">
      <c r="A120" s="71" t="s">
        <v>76</v>
      </c>
      <c r="B120" s="79"/>
      <c r="C120" s="80">
        <v>-98.9</v>
      </c>
      <c r="D120" s="80"/>
      <c r="E120" s="77"/>
      <c r="F120" s="77"/>
      <c r="G120" s="78"/>
    </row>
    <row r="121" spans="1:7" ht="19.8">
      <c r="A121" s="55" t="s">
        <v>74</v>
      </c>
      <c r="B121" s="81" t="s">
        <v>77</v>
      </c>
      <c r="C121" s="77"/>
      <c r="D121" s="77">
        <v>12.14</v>
      </c>
      <c r="E121" s="57"/>
      <c r="F121" s="57"/>
      <c r="G121" s="58"/>
    </row>
    <row r="122" spans="1:7" ht="16.2" thickBot="1">
      <c r="A122" s="82" t="s">
        <v>78</v>
      </c>
      <c r="B122" s="83"/>
      <c r="C122" s="84"/>
      <c r="D122" s="77">
        <v>12.54</v>
      </c>
      <c r="E122" s="84"/>
      <c r="F122" s="84"/>
      <c r="G122" s="85"/>
    </row>
    <row r="124" spans="1:7" s="97" customFormat="1">
      <c r="A124" s="95"/>
      <c r="B124" s="95"/>
      <c r="C124" s="96"/>
      <c r="D124" s="96"/>
      <c r="E124" s="96"/>
      <c r="F124" s="96"/>
      <c r="G124" s="96"/>
    </row>
    <row r="125" spans="1:7" s="97" customFormat="1">
      <c r="A125" s="98"/>
      <c r="B125" s="95"/>
      <c r="C125" s="99"/>
      <c r="D125" s="100"/>
      <c r="E125" s="96"/>
      <c r="F125" s="99"/>
      <c r="G125" s="96"/>
    </row>
    <row r="126" spans="1:7" s="97" customFormat="1">
      <c r="A126" s="98"/>
      <c r="B126" s="95"/>
      <c r="C126" s="99"/>
      <c r="D126" s="100"/>
      <c r="E126" s="100"/>
      <c r="F126" s="96"/>
      <c r="G126" s="100"/>
    </row>
    <row r="127" spans="1:7" s="97" customFormat="1">
      <c r="A127" s="98"/>
      <c r="B127" s="98"/>
      <c r="C127" s="101"/>
      <c r="D127" s="96"/>
      <c r="E127" s="96"/>
      <c r="F127" s="96"/>
      <c r="G127" s="100"/>
    </row>
    <row r="128" spans="1:7" s="97" customFormat="1">
      <c r="A128" s="95"/>
      <c r="B128" s="95"/>
      <c r="C128" s="96"/>
      <c r="D128" s="96"/>
      <c r="E128" s="96"/>
      <c r="F128" s="102"/>
      <c r="G128" s="96"/>
    </row>
    <row r="129" spans="1:7" s="97" customFormat="1">
      <c r="A129" s="103"/>
      <c r="B129" s="104"/>
      <c r="C129" s="105"/>
      <c r="D129" s="106"/>
      <c r="E129" s="106"/>
      <c r="F129" s="106"/>
      <c r="G129" s="106"/>
    </row>
    <row r="130" spans="1:7" s="97" customFormat="1">
      <c r="A130" s="103"/>
      <c r="B130" s="104"/>
      <c r="C130" s="105"/>
      <c r="D130" s="106"/>
      <c r="E130" s="106"/>
      <c r="F130" s="106"/>
      <c r="G130" s="106"/>
    </row>
    <row r="131" spans="1:7" s="97" customFormat="1">
      <c r="A131" s="103"/>
      <c r="B131" s="104"/>
      <c r="C131" s="105"/>
      <c r="D131" s="106"/>
      <c r="E131" s="106"/>
      <c r="F131" s="106"/>
      <c r="G131" s="106"/>
    </row>
    <row r="132" spans="1:7" s="97" customFormat="1">
      <c r="A132" s="103"/>
      <c r="B132" s="104"/>
      <c r="C132" s="105"/>
      <c r="D132" s="106"/>
      <c r="E132" s="106"/>
      <c r="F132" s="106"/>
      <c r="G132" s="106"/>
    </row>
    <row r="133" spans="1:7" s="97" customFormat="1">
      <c r="A133" s="103"/>
      <c r="B133" s="104"/>
      <c r="C133" s="105"/>
      <c r="D133" s="106"/>
      <c r="E133" s="106"/>
      <c r="F133" s="106"/>
      <c r="G133" s="106"/>
    </row>
    <row r="134" spans="1:7" s="97" customFormat="1">
      <c r="A134" s="103"/>
      <c r="B134" s="104"/>
      <c r="C134" s="105"/>
      <c r="D134" s="106"/>
      <c r="E134" s="106"/>
      <c r="F134" s="106"/>
      <c r="G134" s="106"/>
    </row>
    <row r="135" spans="1:7" s="97" customFormat="1">
      <c r="A135" s="103"/>
      <c r="B135" s="104"/>
      <c r="C135" s="105"/>
      <c r="D135" s="106"/>
      <c r="E135" s="106"/>
      <c r="F135" s="106"/>
      <c r="G135" s="106"/>
    </row>
    <row r="136" spans="1:7" s="97" customFormat="1">
      <c r="A136" s="103"/>
      <c r="B136" s="104"/>
      <c r="C136" s="105"/>
      <c r="D136" s="106"/>
      <c r="E136" s="106"/>
      <c r="F136" s="106"/>
      <c r="G136" s="106"/>
    </row>
    <row r="137" spans="1:7" s="97" customFormat="1">
      <c r="A137" s="107"/>
      <c r="B137" s="107"/>
      <c r="C137" s="96"/>
      <c r="D137" s="96"/>
      <c r="E137" s="96"/>
      <c r="F137" s="96"/>
      <c r="G137" s="96"/>
    </row>
    <row r="138" spans="1:7" s="97" customFormat="1">
      <c r="A138" s="102"/>
      <c r="B138" s="108"/>
      <c r="C138" s="109"/>
      <c r="D138" s="110"/>
      <c r="E138" s="111"/>
      <c r="F138" s="111"/>
      <c r="G138" s="111"/>
    </row>
    <row r="139" spans="1:7" s="97" customFormat="1">
      <c r="A139" s="95"/>
      <c r="B139" s="112"/>
      <c r="C139" s="113"/>
      <c r="D139" s="113"/>
      <c r="E139" s="113"/>
      <c r="F139" s="113"/>
      <c r="G139" s="113"/>
    </row>
    <row r="140" spans="1:7" s="97" customFormat="1">
      <c r="A140" s="114"/>
      <c r="B140" s="112"/>
      <c r="C140" s="113"/>
      <c r="D140" s="113"/>
      <c r="E140" s="113"/>
      <c r="F140" s="113"/>
      <c r="G140" s="113"/>
    </row>
    <row r="141" spans="1:7" s="97" customFormat="1">
      <c r="A141" s="115"/>
      <c r="B141" s="116"/>
      <c r="C141" s="113"/>
      <c r="D141" s="113"/>
      <c r="E141" s="113"/>
      <c r="F141" s="113"/>
      <c r="G141" s="113"/>
    </row>
    <row r="142" spans="1:7" s="97" customFormat="1">
      <c r="A142" s="114"/>
      <c r="B142" s="116"/>
      <c r="C142" s="113"/>
      <c r="D142" s="113"/>
      <c r="E142" s="113"/>
      <c r="F142" s="113"/>
      <c r="G142" s="113"/>
    </row>
    <row r="143" spans="1:7" s="97" customFormat="1">
      <c r="A143" s="115"/>
      <c r="B143" s="116"/>
      <c r="C143" s="113"/>
      <c r="D143" s="113"/>
      <c r="E143" s="113"/>
      <c r="F143" s="113"/>
      <c r="G143" s="113"/>
    </row>
    <row r="144" spans="1:7" s="97" customFormat="1">
      <c r="A144" s="95"/>
      <c r="B144" s="116"/>
      <c r="C144" s="113"/>
      <c r="D144" s="113"/>
      <c r="E144" s="113"/>
      <c r="F144" s="113"/>
      <c r="G144" s="113"/>
    </row>
    <row r="145" spans="1:7" s="97" customFormat="1">
      <c r="A145" s="95"/>
      <c r="B145" s="108"/>
      <c r="C145" s="117"/>
      <c r="D145" s="113"/>
      <c r="E145" s="113"/>
      <c r="F145" s="113"/>
      <c r="G145" s="113"/>
    </row>
    <row r="146" spans="1:7" s="97" customFormat="1">
      <c r="A146" s="95"/>
      <c r="B146" s="108"/>
      <c r="C146" s="113"/>
      <c r="D146" s="113"/>
      <c r="E146" s="113"/>
      <c r="F146" s="113"/>
      <c r="G146" s="118"/>
    </row>
    <row r="147" spans="1:7" s="97" customFormat="1">
      <c r="A147" s="102"/>
      <c r="B147" s="108"/>
      <c r="C147" s="109"/>
      <c r="D147" s="110"/>
      <c r="E147" s="111"/>
      <c r="F147" s="111"/>
      <c r="G147" s="111"/>
    </row>
    <row r="148" spans="1:7" s="97" customFormat="1">
      <c r="A148" s="95"/>
      <c r="B148" s="113"/>
      <c r="C148" s="113"/>
      <c r="D148" s="113"/>
      <c r="E148" s="113"/>
      <c r="F148" s="113"/>
      <c r="G148" s="113"/>
    </row>
    <row r="149" spans="1:7" s="97" customFormat="1">
      <c r="A149" s="114"/>
      <c r="B149" s="113"/>
      <c r="C149" s="113"/>
      <c r="D149" s="113"/>
      <c r="E149" s="113"/>
      <c r="F149" s="113"/>
      <c r="G149" s="113"/>
    </row>
    <row r="150" spans="1:7" s="97" customFormat="1">
      <c r="A150" s="115"/>
      <c r="B150" s="119"/>
      <c r="C150" s="113"/>
      <c r="D150" s="113"/>
      <c r="E150" s="113"/>
      <c r="F150" s="113"/>
      <c r="G150" s="113"/>
    </row>
    <row r="151" spans="1:7" s="97" customFormat="1">
      <c r="A151" s="114"/>
      <c r="B151" s="119"/>
      <c r="C151" s="113"/>
      <c r="D151" s="113"/>
      <c r="E151" s="113"/>
      <c r="F151" s="113"/>
      <c r="G151" s="113"/>
    </row>
    <row r="152" spans="1:7" s="97" customFormat="1">
      <c r="A152" s="115"/>
      <c r="B152" s="119"/>
      <c r="C152" s="113"/>
      <c r="D152" s="113"/>
      <c r="E152" s="113"/>
      <c r="F152" s="113"/>
      <c r="G152" s="113"/>
    </row>
    <row r="153" spans="1:7" s="97" customFormat="1">
      <c r="A153" s="95"/>
      <c r="B153" s="119"/>
      <c r="C153" s="113"/>
      <c r="D153" s="113"/>
      <c r="E153" s="113"/>
      <c r="F153" s="113"/>
      <c r="G153" s="113"/>
    </row>
    <row r="154" spans="1:7" s="97" customFormat="1">
      <c r="A154" s="95"/>
      <c r="B154" s="108"/>
      <c r="C154" s="113"/>
      <c r="D154" s="113"/>
      <c r="E154" s="113"/>
      <c r="F154" s="113"/>
      <c r="G154" s="113"/>
    </row>
    <row r="155" spans="1:7" s="97" customFormat="1">
      <c r="A155" s="95"/>
      <c r="B155" s="108"/>
      <c r="C155" s="113"/>
      <c r="D155" s="113"/>
      <c r="E155" s="113"/>
      <c r="F155" s="113"/>
      <c r="G155" s="118"/>
    </row>
    <row r="156" spans="1:7" s="97" customFormat="1">
      <c r="A156" s="95"/>
      <c r="B156" s="108"/>
      <c r="C156" s="111"/>
      <c r="D156" s="111"/>
      <c r="E156" s="111"/>
      <c r="F156" s="111"/>
      <c r="G156" s="111"/>
    </row>
    <row r="157" spans="1:7" s="97" customFormat="1" ht="18.600000000000001">
      <c r="A157" s="102"/>
      <c r="B157" s="108"/>
      <c r="C157" s="120"/>
      <c r="D157" s="120"/>
      <c r="E157" s="111"/>
      <c r="F157" s="111"/>
      <c r="G157" s="111"/>
    </row>
    <row r="158" spans="1:7" s="97" customFormat="1">
      <c r="A158" s="95"/>
      <c r="B158" s="113"/>
      <c r="C158" s="113"/>
      <c r="D158" s="113"/>
      <c r="E158" s="113"/>
      <c r="F158" s="113"/>
      <c r="G158" s="113"/>
    </row>
    <row r="159" spans="1:7" s="97" customFormat="1">
      <c r="A159" s="114"/>
      <c r="B159" s="113"/>
      <c r="C159" s="113"/>
      <c r="D159" s="113"/>
      <c r="E159" s="113"/>
      <c r="F159" s="113"/>
      <c r="G159" s="113"/>
    </row>
    <row r="160" spans="1:7" s="97" customFormat="1">
      <c r="A160" s="115"/>
      <c r="B160" s="119"/>
      <c r="C160" s="113"/>
      <c r="D160" s="113"/>
      <c r="E160" s="113"/>
      <c r="F160" s="113"/>
      <c r="G160" s="113"/>
    </row>
    <row r="161" spans="1:7" s="97" customFormat="1">
      <c r="A161" s="114"/>
      <c r="B161" s="119"/>
      <c r="C161" s="113"/>
      <c r="D161" s="113"/>
      <c r="E161" s="113"/>
      <c r="F161" s="113"/>
      <c r="G161" s="113"/>
    </row>
    <row r="162" spans="1:7" s="97" customFormat="1">
      <c r="A162" s="115"/>
      <c r="B162" s="119"/>
      <c r="C162" s="113"/>
      <c r="D162" s="113"/>
      <c r="E162" s="113"/>
      <c r="F162" s="113"/>
      <c r="G162" s="113"/>
    </row>
    <row r="163" spans="1:7" s="97" customFormat="1">
      <c r="A163" s="95"/>
      <c r="B163" s="119"/>
      <c r="C163" s="113"/>
      <c r="D163" s="113"/>
      <c r="E163" s="113"/>
      <c r="F163" s="113"/>
      <c r="G163" s="113"/>
    </row>
    <row r="164" spans="1:7" s="97" customFormat="1">
      <c r="A164" s="95"/>
      <c r="B164" s="108"/>
      <c r="C164" s="113"/>
      <c r="D164" s="113"/>
      <c r="E164" s="113"/>
      <c r="F164" s="113"/>
      <c r="G164" s="113"/>
    </row>
    <row r="165" spans="1:7" s="97" customFormat="1">
      <c r="A165" s="95"/>
      <c r="B165" s="108"/>
      <c r="C165" s="113"/>
      <c r="D165" s="113"/>
      <c r="E165" s="113"/>
      <c r="F165" s="113"/>
      <c r="G165" s="118"/>
    </row>
    <row r="166" spans="1:7" s="97" customFormat="1">
      <c r="A166" s="95"/>
      <c r="B166" s="109"/>
      <c r="C166" s="111"/>
      <c r="D166" s="111"/>
      <c r="E166" s="111"/>
      <c r="F166" s="111"/>
      <c r="G166" s="111"/>
    </row>
    <row r="167" spans="1:7" s="97" customFormat="1">
      <c r="A167" s="95"/>
      <c r="B167" s="121"/>
      <c r="C167" s="111"/>
      <c r="D167" s="111"/>
      <c r="E167" s="111"/>
      <c r="F167" s="111"/>
      <c r="G167" s="111"/>
    </row>
    <row r="168" spans="1:7" s="97" customFormat="1">
      <c r="A168" s="95"/>
      <c r="B168" s="110"/>
      <c r="C168" s="111"/>
      <c r="D168" s="111"/>
      <c r="E168" s="111"/>
      <c r="F168" s="111"/>
      <c r="G168" s="111"/>
    </row>
    <row r="169" spans="1:7" s="97" customFormat="1">
      <c r="A169" s="95"/>
      <c r="B169" s="95"/>
      <c r="C169" s="96"/>
      <c r="D169" s="111"/>
      <c r="E169" s="96"/>
      <c r="F169" s="96"/>
      <c r="G169" s="96"/>
    </row>
    <row r="170" spans="1:7" s="97" customFormat="1"/>
    <row r="171" spans="1:7" s="97" customFormat="1">
      <c r="A171" s="95"/>
      <c r="B171" s="95"/>
      <c r="C171" s="96"/>
      <c r="D171" s="96"/>
      <c r="E171" s="96"/>
      <c r="F171" s="96"/>
      <c r="G171" s="96"/>
    </row>
    <row r="172" spans="1:7" s="97" customFormat="1">
      <c r="A172" s="98"/>
      <c r="B172" s="95"/>
      <c r="C172" s="99"/>
      <c r="D172" s="100"/>
      <c r="E172" s="96"/>
      <c r="F172" s="99"/>
      <c r="G172" s="96"/>
    </row>
    <row r="173" spans="1:7" s="97" customFormat="1">
      <c r="A173" s="98"/>
      <c r="B173" s="95"/>
      <c r="C173" s="99"/>
      <c r="D173" s="100"/>
      <c r="E173" s="100"/>
      <c r="F173" s="96"/>
      <c r="G173" s="100"/>
    </row>
    <row r="174" spans="1:7" s="97" customFormat="1">
      <c r="A174" s="98"/>
      <c r="B174" s="98"/>
      <c r="C174" s="101"/>
      <c r="D174" s="96"/>
      <c r="E174" s="96"/>
      <c r="F174" s="96"/>
      <c r="G174" s="100"/>
    </row>
    <row r="175" spans="1:7" s="97" customFormat="1">
      <c r="A175" s="95"/>
      <c r="B175" s="95"/>
      <c r="C175" s="96"/>
      <c r="D175" s="96"/>
      <c r="E175" s="96"/>
      <c r="F175" s="102"/>
      <c r="G175" s="96"/>
    </row>
    <row r="176" spans="1:7" s="97" customFormat="1">
      <c r="A176" s="108"/>
      <c r="B176" s="108"/>
      <c r="C176" s="109"/>
      <c r="D176" s="110"/>
      <c r="E176" s="111"/>
      <c r="F176" s="111"/>
      <c r="G176" s="111"/>
    </row>
    <row r="177" spans="1:7" s="97" customFormat="1">
      <c r="A177" s="108"/>
      <c r="B177" s="108"/>
      <c r="C177" s="122"/>
      <c r="D177" s="111"/>
      <c r="E177" s="111"/>
      <c r="F177" s="111"/>
      <c r="G177" s="111"/>
    </row>
    <row r="178" spans="1:7" s="97" customFormat="1">
      <c r="A178" s="108"/>
      <c r="B178" s="108"/>
      <c r="C178" s="122"/>
      <c r="D178" s="111"/>
      <c r="E178" s="111"/>
      <c r="F178" s="111"/>
      <c r="G178" s="111"/>
    </row>
    <row r="179" spans="1:7" s="97" customFormat="1">
      <c r="A179" s="108"/>
      <c r="B179" s="108"/>
      <c r="C179" s="122"/>
      <c r="D179" s="111"/>
      <c r="E179" s="111"/>
      <c r="F179" s="111"/>
      <c r="G179" s="111"/>
    </row>
    <row r="180" spans="1:7" s="97" customFormat="1">
      <c r="A180" s="108"/>
      <c r="B180" s="108"/>
      <c r="C180" s="122"/>
      <c r="D180" s="111"/>
      <c r="E180" s="111"/>
      <c r="F180" s="111"/>
      <c r="G180" s="111"/>
    </row>
    <row r="181" spans="1:7" s="97" customFormat="1">
      <c r="A181" s="108"/>
      <c r="B181" s="108"/>
      <c r="C181" s="122"/>
      <c r="D181" s="111"/>
      <c r="E181" s="111"/>
      <c r="F181" s="111"/>
      <c r="G181" s="111"/>
    </row>
    <row r="182" spans="1:7" s="97" customFormat="1">
      <c r="A182" s="108"/>
      <c r="B182" s="108"/>
      <c r="C182" s="122"/>
      <c r="D182" s="111"/>
      <c r="E182" s="111"/>
      <c r="F182" s="111"/>
      <c r="G182" s="111"/>
    </row>
    <row r="183" spans="1:7" s="97" customFormat="1">
      <c r="A183" s="108"/>
      <c r="B183" s="108"/>
      <c r="C183" s="122"/>
      <c r="D183" s="111"/>
      <c r="E183" s="111"/>
      <c r="F183" s="111"/>
      <c r="G183" s="111"/>
    </row>
    <row r="184" spans="1:7" s="97" customFormat="1">
      <c r="A184" s="107"/>
      <c r="B184" s="107"/>
      <c r="C184" s="96"/>
      <c r="D184" s="96"/>
      <c r="E184" s="96"/>
      <c r="F184" s="96"/>
      <c r="G184" s="96"/>
    </row>
    <row r="185" spans="1:7" s="97" customFormat="1">
      <c r="A185" s="102"/>
      <c r="B185" s="108"/>
      <c r="C185" s="109"/>
      <c r="D185" s="110"/>
      <c r="E185" s="111"/>
      <c r="F185" s="111"/>
      <c r="G185" s="111"/>
    </row>
    <row r="186" spans="1:7" s="97" customFormat="1">
      <c r="A186" s="95"/>
      <c r="B186" s="112"/>
      <c r="C186" s="113"/>
      <c r="D186" s="113"/>
      <c r="E186" s="113"/>
      <c r="F186" s="113"/>
      <c r="G186" s="113"/>
    </row>
    <row r="187" spans="1:7" s="97" customFormat="1">
      <c r="A187" s="114"/>
      <c r="B187" s="112"/>
      <c r="C187" s="113"/>
      <c r="D187" s="113"/>
      <c r="E187" s="113"/>
      <c r="F187" s="113"/>
      <c r="G187" s="113"/>
    </row>
    <row r="188" spans="1:7" s="97" customFormat="1">
      <c r="A188" s="115"/>
      <c r="B188" s="116"/>
      <c r="C188" s="113"/>
      <c r="D188" s="113"/>
      <c r="E188" s="113"/>
      <c r="F188" s="113"/>
      <c r="G188" s="113"/>
    </row>
    <row r="189" spans="1:7" s="97" customFormat="1">
      <c r="A189" s="114"/>
      <c r="B189" s="116"/>
      <c r="C189" s="113"/>
      <c r="D189" s="113"/>
      <c r="E189" s="113"/>
      <c r="F189" s="113"/>
      <c r="G189" s="113"/>
    </row>
    <row r="190" spans="1:7" s="97" customFormat="1">
      <c r="A190" s="115"/>
      <c r="B190" s="116"/>
      <c r="C190" s="113"/>
      <c r="D190" s="113"/>
      <c r="E190" s="113"/>
      <c r="F190" s="113"/>
      <c r="G190" s="113"/>
    </row>
    <row r="191" spans="1:7" s="97" customFormat="1">
      <c r="A191" s="95"/>
      <c r="B191" s="116"/>
      <c r="C191" s="113"/>
      <c r="D191" s="113"/>
      <c r="E191" s="113"/>
      <c r="F191" s="113"/>
      <c r="G191" s="113"/>
    </row>
    <row r="192" spans="1:7" s="97" customFormat="1">
      <c r="A192" s="95"/>
      <c r="B192" s="108"/>
      <c r="C192" s="117"/>
      <c r="D192" s="113"/>
      <c r="E192" s="113"/>
      <c r="F192" s="113"/>
      <c r="G192" s="113"/>
    </row>
    <row r="193" spans="1:7" s="97" customFormat="1">
      <c r="A193" s="95"/>
      <c r="B193" s="108"/>
      <c r="C193" s="113"/>
      <c r="D193" s="113"/>
      <c r="E193" s="113"/>
      <c r="F193" s="113"/>
      <c r="G193" s="118"/>
    </row>
    <row r="194" spans="1:7" s="97" customFormat="1">
      <c r="A194" s="102"/>
      <c r="B194" s="108"/>
      <c r="C194" s="109"/>
      <c r="D194" s="110"/>
      <c r="E194" s="111"/>
      <c r="F194" s="111"/>
      <c r="G194" s="111"/>
    </row>
    <row r="195" spans="1:7" s="97" customFormat="1">
      <c r="A195" s="95"/>
      <c r="B195" s="113"/>
      <c r="C195" s="113"/>
      <c r="D195" s="113"/>
      <c r="E195" s="113"/>
      <c r="F195" s="113"/>
      <c r="G195" s="113"/>
    </row>
    <row r="196" spans="1:7" s="97" customFormat="1">
      <c r="A196" s="114"/>
      <c r="B196" s="113"/>
      <c r="C196" s="113"/>
      <c r="D196" s="113"/>
      <c r="E196" s="113"/>
      <c r="F196" s="113"/>
      <c r="G196" s="113"/>
    </row>
    <row r="197" spans="1:7" s="97" customFormat="1">
      <c r="A197" s="115"/>
      <c r="B197" s="119"/>
      <c r="C197" s="113"/>
      <c r="D197" s="113"/>
      <c r="E197" s="113"/>
      <c r="F197" s="113"/>
      <c r="G197" s="113"/>
    </row>
    <row r="198" spans="1:7" s="97" customFormat="1">
      <c r="A198" s="114"/>
      <c r="B198" s="119"/>
      <c r="C198" s="113"/>
      <c r="D198" s="113"/>
      <c r="E198" s="113"/>
      <c r="F198" s="113"/>
      <c r="G198" s="113"/>
    </row>
    <row r="199" spans="1:7" s="97" customFormat="1">
      <c r="A199" s="115"/>
      <c r="B199" s="119"/>
      <c r="C199" s="113"/>
      <c r="D199" s="113"/>
      <c r="E199" s="113"/>
      <c r="F199" s="113"/>
      <c r="G199" s="113"/>
    </row>
    <row r="200" spans="1:7" s="97" customFormat="1">
      <c r="A200" s="95"/>
      <c r="B200" s="119"/>
      <c r="C200" s="113"/>
      <c r="D200" s="113"/>
      <c r="E200" s="113"/>
      <c r="F200" s="113"/>
      <c r="G200" s="113"/>
    </row>
    <row r="201" spans="1:7" s="97" customFormat="1">
      <c r="A201" s="95"/>
      <c r="B201" s="108"/>
      <c r="C201" s="113"/>
      <c r="D201" s="113"/>
      <c r="E201" s="113"/>
      <c r="F201" s="113"/>
      <c r="G201" s="113"/>
    </row>
    <row r="202" spans="1:7" s="97" customFormat="1">
      <c r="A202" s="95"/>
      <c r="B202" s="108"/>
      <c r="C202" s="113"/>
      <c r="D202" s="113"/>
      <c r="E202" s="113"/>
      <c r="F202" s="113"/>
      <c r="G202" s="118"/>
    </row>
    <row r="203" spans="1:7" s="97" customFormat="1">
      <c r="A203" s="95"/>
      <c r="B203" s="108"/>
      <c r="C203" s="111"/>
      <c r="D203" s="111"/>
      <c r="E203" s="111"/>
      <c r="F203" s="111"/>
      <c r="G203" s="111"/>
    </row>
    <row r="204" spans="1:7" s="97" customFormat="1" ht="18.600000000000001">
      <c r="A204" s="102"/>
      <c r="B204" s="108"/>
      <c r="C204" s="120"/>
      <c r="D204" s="120"/>
      <c r="E204" s="111"/>
      <c r="F204" s="111"/>
      <c r="G204" s="111"/>
    </row>
    <row r="205" spans="1:7" s="97" customFormat="1">
      <c r="A205" s="95"/>
      <c r="B205" s="113"/>
      <c r="C205" s="113"/>
      <c r="D205" s="113"/>
      <c r="E205" s="113"/>
      <c r="F205" s="113"/>
      <c r="G205" s="113"/>
    </row>
    <row r="206" spans="1:7" s="97" customFormat="1">
      <c r="A206" s="114"/>
      <c r="B206" s="113"/>
      <c r="C206" s="113"/>
      <c r="D206" s="113"/>
      <c r="E206" s="113"/>
      <c r="F206" s="113"/>
      <c r="G206" s="113"/>
    </row>
    <row r="207" spans="1:7" s="97" customFormat="1">
      <c r="A207" s="115"/>
      <c r="B207" s="119"/>
      <c r="C207" s="113"/>
      <c r="D207" s="113"/>
      <c r="E207" s="113"/>
      <c r="F207" s="113"/>
      <c r="G207" s="113"/>
    </row>
    <row r="208" spans="1:7" s="97" customFormat="1">
      <c r="A208" s="114"/>
      <c r="B208" s="119"/>
      <c r="C208" s="113"/>
      <c r="D208" s="113"/>
      <c r="E208" s="113"/>
      <c r="F208" s="113"/>
      <c r="G208" s="113"/>
    </row>
    <row r="209" spans="1:7" s="97" customFormat="1">
      <c r="A209" s="115"/>
      <c r="B209" s="119"/>
      <c r="C209" s="113"/>
      <c r="D209" s="113"/>
      <c r="E209" s="113"/>
      <c r="F209" s="113"/>
      <c r="G209" s="113"/>
    </row>
    <row r="210" spans="1:7" s="97" customFormat="1">
      <c r="A210" s="95"/>
      <c r="B210" s="108"/>
      <c r="C210" s="113"/>
      <c r="D210" s="113"/>
      <c r="E210" s="113"/>
      <c r="F210" s="113"/>
      <c r="G210" s="113"/>
    </row>
    <row r="211" spans="1:7" s="97" customFormat="1">
      <c r="A211" s="95"/>
      <c r="B211" s="108"/>
      <c r="C211" s="113"/>
      <c r="D211" s="113"/>
      <c r="E211" s="113"/>
      <c r="F211" s="113"/>
      <c r="G211" s="118"/>
    </row>
    <row r="212" spans="1:7" s="97" customFormat="1">
      <c r="A212" s="95"/>
      <c r="B212" s="109"/>
      <c r="C212" s="111"/>
      <c r="D212" s="111"/>
      <c r="E212" s="111"/>
      <c r="F212" s="111"/>
      <c r="G212" s="111"/>
    </row>
    <row r="213" spans="1:7" s="97" customFormat="1">
      <c r="A213" s="95"/>
      <c r="B213" s="121"/>
      <c r="C213" s="111"/>
      <c r="D213" s="111"/>
      <c r="E213" s="111"/>
      <c r="F213" s="111"/>
      <c r="G213" s="111"/>
    </row>
    <row r="214" spans="1:7" s="97" customFormat="1">
      <c r="A214" s="95"/>
      <c r="B214" s="110"/>
      <c r="C214" s="111"/>
      <c r="D214" s="111"/>
      <c r="E214" s="111"/>
      <c r="F214" s="111"/>
      <c r="G214" s="111"/>
    </row>
    <row r="215" spans="1:7" s="97" customFormat="1">
      <c r="A215" s="95"/>
      <c r="B215" s="95"/>
      <c r="C215" s="96"/>
      <c r="D215" s="111"/>
      <c r="E215" s="96"/>
      <c r="F215" s="96"/>
      <c r="G215" s="96"/>
    </row>
  </sheetData>
  <mergeCells count="4">
    <mergeCell ref="A45:B45"/>
    <mergeCell ref="A90:B90"/>
    <mergeCell ref="A137:B137"/>
    <mergeCell ref="A184:B18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db50f2-35d1-4e06-94e2-167755273558}" enabled="0" method="" siteId="{f4db50f2-35d1-4e06-94e2-16775527355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SUVANKAR CHAKRABORTY</dc:creator>
  <cp:lastModifiedBy>Jherime Kellermann</cp:lastModifiedBy>
  <dcterms:created xsi:type="dcterms:W3CDTF">2024-06-27T15:53:11Z</dcterms:created>
  <dcterms:modified xsi:type="dcterms:W3CDTF">2026-10-22T23:00:17Z</dcterms:modified>
</cp:coreProperties>
</file>